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vs Act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<sst xmlns="http://schemas.openxmlformats.org/spreadsheetml/2006/main" count="82" uniqueCount="30">
  <si>
    <t xml:space="preserve">Business Unit</t>
  </si>
  <si>
    <t xml:space="preserve">Department</t>
  </si>
  <si>
    <t xml:space="preserve">Cost Category</t>
  </si>
  <si>
    <t xml:space="preserve">Annual Budget (USD)</t>
  </si>
  <si>
    <t xml:space="preserve">YTD Budget (USD)</t>
  </si>
  <si>
    <t xml:space="preserve">YTD Actual (USD)</t>
  </si>
  <si>
    <t xml:space="preserve">Variance (USD)</t>
  </si>
  <si>
    <t xml:space="preserve">Variance %</t>
  </si>
  <si>
    <t xml:space="preserve">Status</t>
  </si>
  <si>
    <t xml:space="preserve">Contoso HealthCare</t>
  </si>
  <si>
    <t xml:space="preserve">Finance</t>
  </si>
  <si>
    <t xml:space="preserve">Software &amp; Licenses</t>
  </si>
  <si>
    <t xml:space="preserve">Human Resources</t>
  </si>
  <si>
    <t xml:space="preserve">Marketing Spend</t>
  </si>
  <si>
    <t xml:space="preserve">Legal &amp; Compliance</t>
  </si>
  <si>
    <t xml:space="preserve">Facilities</t>
  </si>
  <si>
    <t xml:space="preserve">Sales</t>
  </si>
  <si>
    <t xml:space="preserve">Contoso Retail</t>
  </si>
  <si>
    <t xml:space="preserve">Marketing</t>
  </si>
  <si>
    <t xml:space="preserve">Professional Services</t>
  </si>
  <si>
    <t xml:space="preserve">Salaries &amp; Wages</t>
  </si>
  <si>
    <t xml:space="preserve">Operations</t>
  </si>
  <si>
    <t xml:space="preserve">Travel &amp; Events</t>
  </si>
  <si>
    <t xml:space="preserve">Customer Service</t>
  </si>
  <si>
    <t xml:space="preserve">Contoso Manufacturing</t>
  </si>
  <si>
    <t xml:space="preserve">Contoso Financial</t>
  </si>
  <si>
    <t xml:space="preserve">Contoso Learning</t>
  </si>
  <si>
    <t xml:space="preserve">IT</t>
  </si>
  <si>
    <t xml:space="preserve">Contoso CloudWorks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</si>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</sst>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1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6" min="5" style="0" width="19"/>
    <col collapsed="false" customWidth="true" hidden="false" outlineLevel="0" max="8" min="7" style="0" width="17"/>
    <col collapsed="false" customWidth="true" hidden="false" outlineLevel="0" max="9" min="9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n">
        <v>250000</v>
      </c>
      <c r="E2" s="3" t="n">
        <v>139942</v>
      </c>
      <c r="F2" s="3" t="n">
        <v>114752</v>
      </c>
      <c r="G2" s="3" t="n">
        <f aca="false">F2-E2</f>
        <v>-25190</v>
      </c>
      <c r="H2" s="4" t="n">
        <f aca="false">(F2-E2)/E2</f>
        <v>-0.180003144159723</v>
      </c>
      <c r="I2" s="2" t="str">
        <f aca="false">IF(H2&gt;0.15,"Over budget",IF(H2&lt;-0.1,"Underspend","On track"))</f>
        <v>Underspend</v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13</v>
      </c>
      <c r="D3" s="3" t="n">
        <v>1250000</v>
      </c>
      <c r="E3" s="3" t="n">
        <v>765566</v>
      </c>
      <c r="F3" s="3" t="n">
        <v>627764</v>
      </c>
      <c r="G3" s="3" t="n">
        <f aca="false">F3-E3</f>
        <v>-137802</v>
      </c>
      <c r="H3" s="4" t="n">
        <f aca="false">(F3-E3)/E3</f>
        <v>-0.180000156746773</v>
      </c>
      <c r="I3" s="2" t="str">
        <f aca="false">IF(H3&gt;0.15,"Over budget",IF(H3&lt;-0.1,"Underspend","On track"))</f>
        <v>Underspend</v>
      </c>
    </row>
    <row r="4" customFormat="false" ht="15" hidden="false" customHeight="false" outlineLevel="0" collapsed="false">
      <c r="A4" s="2" t="s">
        <v>9</v>
      </c>
      <c r="B4" s="2" t="s">
        <v>14</v>
      </c>
      <c r="C4" s="2" t="s">
        <v>15</v>
      </c>
      <c r="D4" s="3" t="n">
        <v>640000</v>
      </c>
      <c r="E4" s="3" t="n">
        <v>353424</v>
      </c>
      <c r="F4" s="3" t="n">
        <v>289808</v>
      </c>
      <c r="G4" s="3" t="n">
        <f aca="false">F4-E4</f>
        <v>-63616</v>
      </c>
      <c r="H4" s="4" t="n">
        <f aca="false">(F4-E4)/E4</f>
        <v>-0.179999094571959</v>
      </c>
      <c r="I4" s="2" t="str">
        <f aca="false">IF(H4&gt;0.15,"Over budget",IF(H4&lt;-0.1,"Underspend","On track"))</f>
        <v>Underspend</v>
      </c>
    </row>
    <row r="5" customFormat="false" ht="15" hidden="false" customHeight="false" outlineLevel="0" collapsed="false">
      <c r="A5" s="2" t="s">
        <v>9</v>
      </c>
      <c r="B5" s="2" t="s">
        <v>16</v>
      </c>
      <c r="C5" s="2" t="s">
        <v>11</v>
      </c>
      <c r="D5" s="3" t="n">
        <v>250000</v>
      </c>
      <c r="E5" s="3" t="n">
        <v>146344</v>
      </c>
      <c r="F5" s="3" t="n">
        <v>120002</v>
      </c>
      <c r="G5" s="3" t="n">
        <f aca="false">F5-E5</f>
        <v>-26342</v>
      </c>
      <c r="H5" s="4" t="n">
        <f aca="false">(F5-E5)/E5</f>
        <v>-0.180000546657191</v>
      </c>
      <c r="I5" s="2" t="str">
        <f aca="false">IF(H5&gt;0.15,"Over budget",IF(H5&lt;-0.1,"Underspend","On track"))</f>
        <v>Underspend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3" t="n">
        <v>250000</v>
      </c>
      <c r="E6" s="3" t="n">
        <v>145361</v>
      </c>
      <c r="F6" s="3" t="n">
        <v>142454</v>
      </c>
      <c r="G6" s="3" t="n">
        <f aca="false">F6-E6</f>
        <v>-2907</v>
      </c>
      <c r="H6" s="4" t="n">
        <f aca="false">(F6-E6)/E6</f>
        <v>-0.0199984865266475</v>
      </c>
      <c r="I6" s="2" t="str">
        <f aca="false">IF(H6&gt;0.15,"Over budget",IF(H6&lt;-0.1,"Underspend","On track"))</f>
        <v>On track</v>
      </c>
    </row>
    <row r="7" customFormat="false" ht="15" hidden="false" customHeight="false" outlineLevel="0" collapsed="false">
      <c r="A7" s="2" t="s">
        <v>17</v>
      </c>
      <c r="B7" s="2" t="s">
        <v>14</v>
      </c>
      <c r="C7" s="2" t="s">
        <v>20</v>
      </c>
      <c r="D7" s="3" t="n">
        <v>250000</v>
      </c>
      <c r="E7" s="3" t="n">
        <v>149717</v>
      </c>
      <c r="F7" s="3" t="n">
        <v>146723</v>
      </c>
      <c r="G7" s="3" t="n">
        <f aca="false">F7-E7</f>
        <v>-2994</v>
      </c>
      <c r="H7" s="4" t="n">
        <f aca="false">(F7-E7)/E7</f>
        <v>-0.0199977290488054</v>
      </c>
      <c r="I7" s="2" t="str">
        <f aca="false">IF(H7&gt;0.15,"Over budget",IF(H7&lt;-0.1,"Underspend","On track"))</f>
        <v>On track</v>
      </c>
    </row>
    <row r="8" customFormat="false" ht="15" hidden="false" customHeight="false" outlineLevel="0" collapsed="false">
      <c r="A8" s="2" t="s">
        <v>17</v>
      </c>
      <c r="B8" s="2" t="s">
        <v>21</v>
      </c>
      <c r="C8" s="2" t="s">
        <v>22</v>
      </c>
      <c r="D8" s="3" t="n">
        <v>250000</v>
      </c>
      <c r="E8" s="3" t="n">
        <v>141268</v>
      </c>
      <c r="F8" s="3" t="n">
        <v>189299</v>
      </c>
      <c r="G8" s="3" t="n">
        <f aca="false">F8-E8</f>
        <v>48031</v>
      </c>
      <c r="H8" s="4" t="n">
        <f aca="false">(F8-E8)/E8</f>
        <v>0.339999150550726</v>
      </c>
      <c r="I8" s="2" t="str">
        <f aca="false">IF(H8&gt;0.15,"Over budget",IF(H8&lt;-0.1,"Underspend","On track"))</f>
        <v>Over budget</v>
      </c>
    </row>
    <row r="9" customFormat="false" ht="15" hidden="false" customHeight="false" outlineLevel="0" collapsed="false">
      <c r="A9" s="2" t="s">
        <v>17</v>
      </c>
      <c r="B9" s="2" t="s">
        <v>23</v>
      </c>
      <c r="C9" s="2" t="s">
        <v>22</v>
      </c>
      <c r="D9" s="3" t="n">
        <v>120000</v>
      </c>
      <c r="E9" s="3" t="n">
        <v>66779</v>
      </c>
      <c r="F9" s="3" t="n">
        <v>54759</v>
      </c>
      <c r="G9" s="3" t="n">
        <f aca="false">F9-E9</f>
        <v>-12020</v>
      </c>
      <c r="H9" s="4" t="n">
        <f aca="false">(F9-E9)/E9</f>
        <v>-0.179996705551146</v>
      </c>
      <c r="I9" s="2" t="str">
        <f aca="false">IF(H9&gt;0.15,"Over budget",IF(H9&lt;-0.1,"Underspend","On track"))</f>
        <v>Underspend</v>
      </c>
    </row>
    <row r="10" customFormat="false" ht="15" hidden="false" customHeight="false" outlineLevel="0" collapsed="false">
      <c r="A10" s="2" t="s">
        <v>24</v>
      </c>
      <c r="B10" s="2" t="s">
        <v>14</v>
      </c>
      <c r="C10" s="2" t="s">
        <v>22</v>
      </c>
      <c r="D10" s="3" t="n">
        <v>120000</v>
      </c>
      <c r="E10" s="3" t="n">
        <v>72130</v>
      </c>
      <c r="F10" s="3" t="n">
        <v>77900</v>
      </c>
      <c r="G10" s="3" t="n">
        <f aca="false">F10-E10</f>
        <v>5770</v>
      </c>
      <c r="H10" s="4" t="n">
        <f aca="false">(F10-E10)/E10</f>
        <v>0.07999445445723</v>
      </c>
      <c r="I10" s="2" t="str">
        <f aca="false">IF(H10&gt;0.15,"Over budget",IF(H10&lt;-0.1,"Underspend","On track"))</f>
        <v>On track</v>
      </c>
    </row>
    <row r="11" customFormat="false" ht="15" hidden="false" customHeight="false" outlineLevel="0" collapsed="false">
      <c r="A11" s="2" t="s">
        <v>24</v>
      </c>
      <c r="B11" s="2" t="s">
        <v>21</v>
      </c>
      <c r="C11" s="2" t="s">
        <v>20</v>
      </c>
      <c r="D11" s="3" t="n">
        <v>640000</v>
      </c>
      <c r="E11" s="3" t="n">
        <v>355530</v>
      </c>
      <c r="F11" s="3" t="n">
        <v>348419</v>
      </c>
      <c r="G11" s="3" t="n">
        <f aca="false">F11-E11</f>
        <v>-7111</v>
      </c>
      <c r="H11" s="4" t="n">
        <f aca="false">(F11-E11)/E11</f>
        <v>-0.0200011250808652</v>
      </c>
      <c r="I11" s="2" t="str">
        <f aca="false">IF(H11&gt;0.15,"Over budget",IF(H11&lt;-0.1,"Underspend","On track"))</f>
        <v>On track</v>
      </c>
    </row>
    <row r="12" customFormat="false" ht="15" hidden="false" customHeight="false" outlineLevel="0" collapsed="false">
      <c r="A12" s="2" t="s">
        <v>24</v>
      </c>
      <c r="B12" s="2" t="s">
        <v>16</v>
      </c>
      <c r="C12" s="2" t="s">
        <v>13</v>
      </c>
      <c r="D12" s="3" t="n">
        <v>900000</v>
      </c>
      <c r="E12" s="3" t="n">
        <v>550783</v>
      </c>
      <c r="F12" s="3" t="n">
        <v>539767</v>
      </c>
      <c r="G12" s="3" t="n">
        <f aca="false">F12-E12</f>
        <v>-11016</v>
      </c>
      <c r="H12" s="4" t="n">
        <f aca="false">(F12-E12)/E12</f>
        <v>-0.0200006173030032</v>
      </c>
      <c r="I12" s="2" t="str">
        <f aca="false">IF(H12&gt;0.15,"Over budget",IF(H12&lt;-0.1,"Underspend","On track"))</f>
        <v>On track</v>
      </c>
    </row>
    <row r="13" customFormat="false" ht="15" hidden="false" customHeight="false" outlineLevel="0" collapsed="false">
      <c r="A13" s="2" t="s">
        <v>24</v>
      </c>
      <c r="B13" s="2" t="s">
        <v>23</v>
      </c>
      <c r="C13" s="2" t="s">
        <v>15</v>
      </c>
      <c r="D13" s="3" t="n">
        <v>250000</v>
      </c>
      <c r="E13" s="3" t="n">
        <v>149830</v>
      </c>
      <c r="F13" s="3" t="n">
        <v>122861</v>
      </c>
      <c r="G13" s="3" t="n">
        <f aca="false">F13-E13</f>
        <v>-26969</v>
      </c>
      <c r="H13" s="4" t="n">
        <f aca="false">(F13-E13)/E13</f>
        <v>-0.179997330307682</v>
      </c>
      <c r="I13" s="2" t="str">
        <f aca="false">IF(H13&gt;0.15,"Over budget",IF(H13&lt;-0.1,"Underspend","On track"))</f>
        <v>Underspend</v>
      </c>
    </row>
    <row r="14" customFormat="false" ht="15" hidden="false" customHeight="false" outlineLevel="0" collapsed="false">
      <c r="A14" s="2" t="s">
        <v>25</v>
      </c>
      <c r="B14" s="2" t="s">
        <v>18</v>
      </c>
      <c r="C14" s="2" t="s">
        <v>11</v>
      </c>
      <c r="D14" s="3" t="n">
        <v>120000</v>
      </c>
      <c r="E14" s="3" t="n">
        <v>69193</v>
      </c>
      <c r="F14" s="3" t="n">
        <v>71269</v>
      </c>
      <c r="G14" s="3" t="n">
        <f aca="false">F14-E14</f>
        <v>2076</v>
      </c>
      <c r="H14" s="4" t="n">
        <f aca="false">(F14-E14)/E14</f>
        <v>0.0300030349890885</v>
      </c>
      <c r="I14" s="2" t="str">
        <f aca="false">IF(H14&gt;0.15,"Over budget",IF(H14&lt;-0.1,"Underspend","On track"))</f>
        <v>On track</v>
      </c>
    </row>
    <row r="15" customFormat="false" ht="15" hidden="false" customHeight="false" outlineLevel="0" collapsed="false">
      <c r="A15" s="2" t="s">
        <v>25</v>
      </c>
      <c r="B15" s="2" t="s">
        <v>21</v>
      </c>
      <c r="C15" s="2" t="s">
        <v>13</v>
      </c>
      <c r="D15" s="3" t="n">
        <v>480000</v>
      </c>
      <c r="E15" s="3" t="n">
        <v>269465</v>
      </c>
      <c r="F15" s="3" t="n">
        <v>264076</v>
      </c>
      <c r="G15" s="3" t="n">
        <f aca="false">F15-E15</f>
        <v>-5389</v>
      </c>
      <c r="H15" s="4" t="n">
        <f aca="false">(F15-E15)/E15</f>
        <v>-0.0199988866828716</v>
      </c>
      <c r="I15" s="2" t="str">
        <f aca="false">IF(H15&gt;0.15,"Over budget",IF(H15&lt;-0.1,"Underspend","On track"))</f>
        <v>On track</v>
      </c>
    </row>
    <row r="16" customFormat="false" ht="15" hidden="false" customHeight="false" outlineLevel="0" collapsed="false">
      <c r="A16" s="2" t="s">
        <v>25</v>
      </c>
      <c r="B16" s="2" t="s">
        <v>16</v>
      </c>
      <c r="C16" s="2" t="s">
        <v>11</v>
      </c>
      <c r="D16" s="3" t="n">
        <v>1250000</v>
      </c>
      <c r="E16" s="3" t="n">
        <v>710861</v>
      </c>
      <c r="F16" s="3" t="n">
        <v>867250</v>
      </c>
      <c r="G16" s="3" t="n">
        <f aca="false">F16-E16</f>
        <v>156389</v>
      </c>
      <c r="H16" s="4" t="n">
        <f aca="false">(F16-E16)/E16</f>
        <v>0.219999409167193</v>
      </c>
      <c r="I16" s="2" t="str">
        <f aca="false">IF(H16&gt;0.15,"Over budget",IF(H16&lt;-0.1,"Underspend","On track"))</f>
        <v>Over budget</v>
      </c>
    </row>
    <row r="17" customFormat="false" ht="15" hidden="false" customHeight="false" outlineLevel="0" collapsed="false">
      <c r="A17" s="2" t="s">
        <v>25</v>
      </c>
      <c r="B17" s="2" t="s">
        <v>12</v>
      </c>
      <c r="C17" s="2" t="s">
        <v>13</v>
      </c>
      <c r="D17" s="3" t="n">
        <v>120000</v>
      </c>
      <c r="E17" s="3" t="n">
        <v>71117</v>
      </c>
      <c r="F17" s="3" t="n">
        <v>66850</v>
      </c>
      <c r="G17" s="3" t="n">
        <f aca="false">F17-E17</f>
        <v>-4267</v>
      </c>
      <c r="H17" s="4" t="n">
        <f aca="false">(F17-E17)/E17</f>
        <v>-0.0599997187732891</v>
      </c>
      <c r="I17" s="2" t="str">
        <f aca="false">IF(H17&gt;0.15,"Over budget",IF(H17&lt;-0.1,"Underspend","On track"))</f>
        <v>On track</v>
      </c>
    </row>
    <row r="18" customFormat="false" ht="15" hidden="false" customHeight="false" outlineLevel="0" collapsed="false">
      <c r="A18" s="2" t="s">
        <v>26</v>
      </c>
      <c r="B18" s="2" t="s">
        <v>18</v>
      </c>
      <c r="C18" s="2" t="s">
        <v>22</v>
      </c>
      <c r="D18" s="3" t="n">
        <v>1250000</v>
      </c>
      <c r="E18" s="3" t="n">
        <v>747714</v>
      </c>
      <c r="F18" s="3" t="n">
        <v>702851</v>
      </c>
      <c r="G18" s="3" t="n">
        <f aca="false">F18-E18</f>
        <v>-44863</v>
      </c>
      <c r="H18" s="4" t="n">
        <f aca="false">(F18-E18)/E18</f>
        <v>-0.0600002139855613</v>
      </c>
      <c r="I18" s="2" t="str">
        <f aca="false">IF(H18&gt;0.15,"Over budget",IF(H18&lt;-0.1,"Underspend","On track"))</f>
        <v>On track</v>
      </c>
    </row>
    <row r="19" customFormat="false" ht="15" hidden="false" customHeight="false" outlineLevel="0" collapsed="false">
      <c r="A19" s="2" t="s">
        <v>26</v>
      </c>
      <c r="B19" s="2" t="s">
        <v>10</v>
      </c>
      <c r="C19" s="2" t="s">
        <v>13</v>
      </c>
      <c r="D19" s="3" t="n">
        <v>480000</v>
      </c>
      <c r="E19" s="3" t="n">
        <v>292320</v>
      </c>
      <c r="F19" s="3" t="n">
        <v>391709</v>
      </c>
      <c r="G19" s="3" t="n">
        <f aca="false">F19-E19</f>
        <v>99389</v>
      </c>
      <c r="H19" s="4" t="n">
        <f aca="false">(F19-E19)/E19</f>
        <v>0.340000684181719</v>
      </c>
      <c r="I19" s="2" t="str">
        <f aca="false">IF(H19&gt;0.15,"Over budget",IF(H19&lt;-0.1,"Underspend","On track"))</f>
        <v>Over budget</v>
      </c>
    </row>
    <row r="20" customFormat="false" ht="15" hidden="false" customHeight="false" outlineLevel="0" collapsed="false">
      <c r="A20" s="2" t="s">
        <v>26</v>
      </c>
      <c r="B20" s="2" t="s">
        <v>27</v>
      </c>
      <c r="C20" s="2" t="s">
        <v>20</v>
      </c>
      <c r="D20" s="3" t="n">
        <v>250000</v>
      </c>
      <c r="E20" s="3" t="n">
        <v>151882</v>
      </c>
      <c r="F20" s="3" t="n">
        <v>203522</v>
      </c>
      <c r="G20" s="3" t="n">
        <f aca="false">F20-E20</f>
        <v>51640</v>
      </c>
      <c r="H20" s="4" t="n">
        <f aca="false">(F20-E20)/E20</f>
        <v>0.340000790087041</v>
      </c>
      <c r="I20" s="2" t="str">
        <f aca="false">IF(H20&gt;0.15,"Over budget",IF(H20&lt;-0.1,"Underspend","On track"))</f>
        <v>Over budget</v>
      </c>
    </row>
    <row r="21" customFormat="false" ht="15" hidden="false" customHeight="false" outlineLevel="0" collapsed="false">
      <c r="A21" s="2" t="s">
        <v>26</v>
      </c>
      <c r="B21" s="2" t="s">
        <v>14</v>
      </c>
      <c r="C21" s="2" t="s">
        <v>22</v>
      </c>
      <c r="D21" s="3" t="n">
        <v>640000</v>
      </c>
      <c r="E21" s="3" t="n">
        <v>363995</v>
      </c>
      <c r="F21" s="3" t="n">
        <v>342155</v>
      </c>
      <c r="G21" s="3" t="n">
        <f aca="false">F21-E21</f>
        <v>-21840</v>
      </c>
      <c r="H21" s="4" t="n">
        <f aca="false">(F21-E21)/E21</f>
        <v>-0.0600008241871454</v>
      </c>
      <c r="I21" s="2" t="str">
        <f aca="false">IF(H21&gt;0.15,"Over budget",IF(H21&lt;-0.1,"Underspend","On track"))</f>
        <v>On track</v>
      </c>
    </row>
    <row r="22" customFormat="false" ht="15" hidden="false" customHeight="false" outlineLevel="0" collapsed="false">
      <c r="A22" s="2" t="s">
        <v>28</v>
      </c>
      <c r="B22" s="2" t="s">
        <v>14</v>
      </c>
      <c r="C22" s="2" t="s">
        <v>19</v>
      </c>
      <c r="D22" s="3" t="n">
        <v>1250000</v>
      </c>
      <c r="E22" s="3" t="n">
        <v>727650</v>
      </c>
      <c r="F22" s="3" t="n">
        <v>713097</v>
      </c>
      <c r="G22" s="3" t="n">
        <f aca="false">F22-E22</f>
        <v>-14553</v>
      </c>
      <c r="H22" s="4" t="n">
        <f aca="false">(F22-E22)/E22</f>
        <v>-0.02</v>
      </c>
      <c r="I22" s="2" t="str">
        <f aca="false">IF(H22&gt;0.15,"Over budget",IF(H22&lt;-0.1,"Underspend","On track"))</f>
        <v>On track</v>
      </c>
    </row>
    <row r="23" customFormat="false" ht="15" hidden="false" customHeight="false" outlineLevel="0" collapsed="false">
      <c r="A23" s="2" t="s">
        <v>28</v>
      </c>
      <c r="B23" s="2" t="s">
        <v>10</v>
      </c>
      <c r="C23" s="2" t="s">
        <v>11</v>
      </c>
      <c r="D23" s="3" t="n">
        <v>250000</v>
      </c>
      <c r="E23" s="3" t="n">
        <v>150537</v>
      </c>
      <c r="F23" s="3" t="n">
        <v>162580</v>
      </c>
      <c r="G23" s="3" t="n">
        <f aca="false">F23-E23</f>
        <v>12043</v>
      </c>
      <c r="H23" s="4" t="n">
        <f aca="false">(F23-E23)/E23</f>
        <v>0.0800002657154055</v>
      </c>
      <c r="I23" s="2" t="str">
        <f aca="false">IF(H23&gt;0.15,"Over budget",IF(H23&lt;-0.1,"Underspend","On track"))</f>
        <v>On track</v>
      </c>
    </row>
    <row r="24" customFormat="false" ht="15" hidden="false" customHeight="false" outlineLevel="0" collapsed="false">
      <c r="A24" s="2" t="s">
        <v>28</v>
      </c>
      <c r="B24" s="2" t="s">
        <v>27</v>
      </c>
      <c r="C24" s="2" t="s">
        <v>22</v>
      </c>
      <c r="D24" s="3" t="n">
        <v>1250000</v>
      </c>
      <c r="E24" s="3" t="n">
        <v>738651</v>
      </c>
      <c r="F24" s="3" t="n">
        <v>797743</v>
      </c>
      <c r="G24" s="3" t="n">
        <f aca="false">F24-E24</f>
        <v>59092</v>
      </c>
      <c r="H24" s="4" t="n">
        <f aca="false">(F24-E24)/E24</f>
        <v>0.0799998916944538</v>
      </c>
      <c r="I24" s="2" t="str">
        <f aca="false">IF(H24&gt;0.15,"Over budget",IF(H24&lt;-0.1,"Underspend","On track"))</f>
        <v>On track</v>
      </c>
    </row>
    <row r="25" customFormat="false" ht="15" hidden="false" customHeight="false" outlineLevel="0" collapsed="false">
      <c r="A25" s="2" t="s">
        <v>28</v>
      </c>
      <c r="B25" s="2" t="s">
        <v>18</v>
      </c>
      <c r="C25" s="2" t="s">
        <v>19</v>
      </c>
      <c r="D25" s="3" t="n">
        <v>480000</v>
      </c>
      <c r="E25" s="3" t="n">
        <v>271369</v>
      </c>
      <c r="F25" s="3" t="n">
        <v>255087</v>
      </c>
      <c r="G25" s="3" t="n">
        <f aca="false">F25-E25</f>
        <v>-16282</v>
      </c>
      <c r="H25" s="4" t="n">
        <f aca="false">(F25-E25)/E25</f>
        <v>-0.0599994840972993</v>
      </c>
      <c r="I25" s="2" t="str">
        <f aca="false">IF(H25&gt;0.15,"Over budget",IF(H25&lt;-0.1,"Underspend","On track"))</f>
        <v>On track</v>
      </c>
    </row>
    <row r="26" customFormat="false" ht="15" hidden="false" customHeight="false" outlineLevel="0" collapsed="false">
      <c r="A26" s="2" t="s">
        <v>29</v>
      </c>
      <c r="B26" s="2"/>
      <c r="C26" s="2"/>
      <c r="D26" s="3" t="n">
        <f aca="false">SUM(D2:D25)</f>
        <v>12990000</v>
      </c>
      <c r="E26" s="3" t="n">
        <f aca="false">SUM(E2:E25)</f>
        <v>7601428</v>
      </c>
      <c r="F26" s="3" t="n">
        <f aca="false">SUM(F2:F25)</f>
        <v>7612697</v>
      </c>
      <c r="G26" s="3" t="n">
        <f aca="false">SUM(G2:G25)</f>
        <v>11269</v>
      </c>
      <c r="H26" s="4" t="n">
        <f aca="false">(F26-E26)/E26</f>
        <v>0.00148248460683966</v>
      </c>
      <c r="I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2026-08-24T09:29:52.5542130Z</dcterms:created>
  <dc:creator>Wilson Tsui</dc:creator>
  <dc:description/>
  <dc:language>en-US</dc:language>
  <lastModifiedBy>Wilson Tsui</lastModifiedBy>
  <dcterms:modified xsi:type="dcterms:W3CDTF">2026-08-24T09:29:52.5542130Z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