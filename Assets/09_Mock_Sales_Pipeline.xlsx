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<sst xmlns="http://schemas.openxmlformats.org/spreadsheetml/2006/main" count="373" uniqueCount="159">
  <si>
    <t xml:space="preserve">Opportunity ID</t>
  </si>
  <si>
    <t xml:space="preserve">Account</t>
  </si>
  <si>
    <t xml:space="preserve">Industry</t>
  </si>
  <si>
    <t xml:space="preserve">Region</t>
  </si>
  <si>
    <t xml:space="preserve">Product</t>
  </si>
  <si>
    <t xml:space="preserve">Stage</t>
  </si>
  <si>
    <t xml:space="preserve">Deal Value (USD)</t>
  </si>
  <si>
    <t xml:space="preserve">Probability %</t>
  </si>
  <si>
    <t xml:space="preserve">Weighted Value (USD)</t>
  </si>
  <si>
    <t xml:space="preserve">Owner</t>
  </si>
  <si>
    <t xml:space="preserve">Created</t>
  </si>
  <si>
    <t xml:space="preserve">Expected Close</t>
  </si>
  <si>
    <t xml:space="preserve">OPP-1001</t>
  </si>
  <si>
    <t xml:space="preserve">Alpine Ski House</t>
  </si>
  <si>
    <t xml:space="preserve">Healthcare</t>
  </si>
  <si>
    <t xml:space="preserve">North America</t>
  </si>
  <si>
    <t xml:space="preserve">CloudWorks Analytics</t>
  </si>
  <si>
    <t xml:space="preserve">Negotiation</t>
  </si>
  <si>
    <t xml:space="preserve">M. Chen</t>
  </si>
  <si>
    <t xml:space="preserve">2026-06-23</t>
  </si>
  <si>
    <t xml:space="preserve">2026-09-03</t>
  </si>
  <si>
    <t xml:space="preserve">OPP-1002</t>
  </si>
  <si>
    <t xml:space="preserve">WingTip Foods</t>
  </si>
  <si>
    <t xml:space="preserve">Education</t>
  </si>
  <si>
    <t xml:space="preserve">APAC</t>
  </si>
  <si>
    <t xml:space="preserve">CloudWorks Core</t>
  </si>
  <si>
    <t xml:space="preserve">A. Okafor</t>
  </si>
  <si>
    <t xml:space="preserve">2026-06-27</t>
  </si>
  <si>
    <t xml:space="preserve">2026-08-25</t>
  </si>
  <si>
    <t xml:space="preserve">OPP-1003</t>
  </si>
  <si>
    <t xml:space="preserve">Coho Vineyard</t>
  </si>
  <si>
    <t xml:space="preserve">Manufacturing</t>
  </si>
  <si>
    <t xml:space="preserve">LATAM</t>
  </si>
  <si>
    <t xml:space="preserve">Proposal</t>
  </si>
  <si>
    <t xml:space="preserve">L. Rossi</t>
  </si>
  <si>
    <t xml:space="preserve">2026-01-18</t>
  </si>
  <si>
    <t xml:space="preserve">2026-09-25</t>
  </si>
  <si>
    <t xml:space="preserve">OPP-1004</t>
  </si>
  <si>
    <t xml:space="preserve">Tailspin Motors</t>
  </si>
  <si>
    <t xml:space="preserve">Technology</t>
  </si>
  <si>
    <t xml:space="preserve">Closed Won</t>
  </si>
  <si>
    <t xml:space="preserve">2026-03-15</t>
  </si>
  <si>
    <t xml:space="preserve">OPP-1005</t>
  </si>
  <si>
    <t xml:space="preserve">Financial Services</t>
  </si>
  <si>
    <t xml:space="preserve">Prospecting</t>
  </si>
  <si>
    <t xml:space="preserve">S. Nadeem</t>
  </si>
  <si>
    <t xml:space="preserve">2026-03-17</t>
  </si>
  <si>
    <t xml:space="preserve">2026-07-08</t>
  </si>
  <si>
    <t xml:space="preserve">OPP-1006</t>
  </si>
  <si>
    <t xml:space="preserve">Blue Yonder Air</t>
  </si>
  <si>
    <t xml:space="preserve">K. Bianchi</t>
  </si>
  <si>
    <t xml:space="preserve">2026-02-14</t>
  </si>
  <si>
    <t xml:space="preserve">2026-09-16</t>
  </si>
  <si>
    <t xml:space="preserve">OPP-1007</t>
  </si>
  <si>
    <t xml:space="preserve">Qualification</t>
  </si>
  <si>
    <t xml:space="preserve">2026-06-16</t>
  </si>
  <si>
    <t xml:space="preserve">2026-09-10</t>
  </si>
  <si>
    <t xml:space="preserve">OPP-1008</t>
  </si>
  <si>
    <t xml:space="preserve">Closed Lost</t>
  </si>
  <si>
    <t xml:space="preserve">2026-02-12</t>
  </si>
  <si>
    <t xml:space="preserve">2026-08-01</t>
  </si>
  <si>
    <t xml:space="preserve">OPP-1009</t>
  </si>
  <si>
    <t xml:space="preserve">EMEA</t>
  </si>
  <si>
    <t xml:space="preserve">2026-06-11</t>
  </si>
  <si>
    <t xml:space="preserve">2026-07-03</t>
  </si>
  <si>
    <t xml:space="preserve">OPP-1010</t>
  </si>
  <si>
    <t xml:space="preserve">Fabrikam Health</t>
  </si>
  <si>
    <t xml:space="preserve">CloudWorks Secure</t>
  </si>
  <si>
    <t xml:space="preserve">2026-02-27</t>
  </si>
  <si>
    <t xml:space="preserve">2026-07-24</t>
  </si>
  <si>
    <t xml:space="preserve">OPP-1011</t>
  </si>
  <si>
    <t xml:space="preserve">Retail</t>
  </si>
  <si>
    <t xml:space="preserve">CloudWorks Copilot Add-on</t>
  </si>
  <si>
    <t xml:space="preserve">2026-01-13</t>
  </si>
  <si>
    <t xml:space="preserve">2026-09-14</t>
  </si>
  <si>
    <t xml:space="preserve">OPP-1012</t>
  </si>
  <si>
    <t xml:space="preserve">Proseware Cloud</t>
  </si>
  <si>
    <t xml:space="preserve">2026-04-20</t>
  </si>
  <si>
    <t xml:space="preserve">OPP-1013</t>
  </si>
  <si>
    <t xml:space="preserve">Adventure Bank</t>
  </si>
  <si>
    <t xml:space="preserve">2026-04-17</t>
  </si>
  <si>
    <t xml:space="preserve">2026-07-15</t>
  </si>
  <si>
    <t xml:space="preserve">OPP-1014</t>
  </si>
  <si>
    <t xml:space="preserve">2026-02-23</t>
  </si>
  <si>
    <t xml:space="preserve">2026-08-16</t>
  </si>
  <si>
    <t xml:space="preserve">OPP-1015</t>
  </si>
  <si>
    <t xml:space="preserve">2026-03-24</t>
  </si>
  <si>
    <t xml:space="preserve">2026-08-14</t>
  </si>
  <si>
    <t xml:space="preserve">OPP-1016</t>
  </si>
  <si>
    <t xml:space="preserve">Graphic Design Ind.</t>
  </si>
  <si>
    <t xml:space="preserve">2026-01-28</t>
  </si>
  <si>
    <t xml:space="preserve">2026-09-18</t>
  </si>
  <si>
    <t xml:space="preserve">OPP-1017</t>
  </si>
  <si>
    <t xml:space="preserve">2026-05-15</t>
  </si>
  <si>
    <t xml:space="preserve">2026-07-17</t>
  </si>
  <si>
    <t xml:space="preserve">OPP-1018</t>
  </si>
  <si>
    <t xml:space="preserve">Northwind Retail</t>
  </si>
  <si>
    <t xml:space="preserve">2026-07-19</t>
  </si>
  <si>
    <t xml:space="preserve">OPP-1019</t>
  </si>
  <si>
    <t xml:space="preserve">2026-06-20</t>
  </si>
  <si>
    <t xml:space="preserve">2026-07-09</t>
  </si>
  <si>
    <t xml:space="preserve">OPP-1020</t>
  </si>
  <si>
    <t xml:space="preserve">2026-04-28</t>
  </si>
  <si>
    <t xml:space="preserve">OPP-1021</t>
  </si>
  <si>
    <t xml:space="preserve">2026-03-19</t>
  </si>
  <si>
    <t xml:space="preserve">OPP-1022</t>
  </si>
  <si>
    <t xml:space="preserve">2026-02-18</t>
  </si>
  <si>
    <t xml:space="preserve">2026-07-04</t>
  </si>
  <si>
    <t xml:space="preserve">OPP-1023</t>
  </si>
  <si>
    <t xml:space="preserve">OPP-1024</t>
  </si>
  <si>
    <t xml:space="preserve">Litware Academy</t>
  </si>
  <si>
    <t xml:space="preserve">2026-01-20</t>
  </si>
  <si>
    <t xml:space="preserve">2026-07-21</t>
  </si>
  <si>
    <t xml:space="preserve">OPP-1025</t>
  </si>
  <si>
    <t xml:space="preserve">2026-01-14</t>
  </si>
  <si>
    <t xml:space="preserve">2026-09-02</t>
  </si>
  <si>
    <t xml:space="preserve">OPP-1026</t>
  </si>
  <si>
    <t xml:space="preserve">2026-03-11</t>
  </si>
  <si>
    <t xml:space="preserve">2026-08-07</t>
  </si>
  <si>
    <t xml:space="preserve">OPP-1027</t>
  </si>
  <si>
    <t xml:space="preserve">2026-02-15</t>
  </si>
  <si>
    <t xml:space="preserve">OPP-1028</t>
  </si>
  <si>
    <t xml:space="preserve">2026-06-13</t>
  </si>
  <si>
    <t xml:space="preserve">2026-08-28</t>
  </si>
  <si>
    <t xml:space="preserve">OPP-1029</t>
  </si>
  <si>
    <t xml:space="preserve">2026-02-17</t>
  </si>
  <si>
    <t xml:space="preserve">2026-07-22</t>
  </si>
  <si>
    <t xml:space="preserve">OPP-1030</t>
  </si>
  <si>
    <t xml:space="preserve">2026-06-26</t>
  </si>
  <si>
    <t xml:space="preserve">2026-08-22</t>
  </si>
  <si>
    <t xml:space="preserve">OPP-1031</t>
  </si>
  <si>
    <t xml:space="preserve">2026-07-20</t>
  </si>
  <si>
    <t xml:space="preserve">OPP-1032</t>
  </si>
  <si>
    <t xml:space="preserve">2026-07-23</t>
  </si>
  <si>
    <t xml:space="preserve">OPP-1033</t>
  </si>
  <si>
    <t xml:space="preserve">2026-05-20</t>
  </si>
  <si>
    <t xml:space="preserve">2026-09-28</t>
  </si>
  <si>
    <t xml:space="preserve">OPP-1034</t>
  </si>
  <si>
    <t xml:space="preserve">2026-04-19</t>
  </si>
  <si>
    <t xml:space="preserve">2026-09-05</t>
  </si>
  <si>
    <t xml:space="preserve">OPP-1035</t>
  </si>
  <si>
    <t xml:space="preserve">2026-05-10</t>
  </si>
  <si>
    <t xml:space="preserve">2026-08-10</t>
  </si>
  <si>
    <t xml:space="preserve">OPP-1036</t>
  </si>
  <si>
    <t xml:space="preserve">2026-05-25</t>
  </si>
  <si>
    <t xml:space="preserve">2026-09-06</t>
  </si>
  <si>
    <t xml:space="preserve">OPP-1037</t>
  </si>
  <si>
    <t xml:space="preserve">2026-06-19</t>
  </si>
  <si>
    <t xml:space="preserve">2026-07-26</t>
  </si>
  <si>
    <t xml:space="preserve">OPP-1038</t>
  </si>
  <si>
    <t xml:space="preserve">2026-01-24</t>
  </si>
  <si>
    <t xml:space="preserve">2026-08-21</t>
  </si>
  <si>
    <t xml:space="preserve">OPP-1039</t>
  </si>
  <si>
    <t xml:space="preserve">2026-06-10</t>
  </si>
  <si>
    <t xml:space="preserve">2026-07-25</t>
  </si>
  <si>
    <t xml:space="preserve">OPP-1040</t>
  </si>
  <si>
    <t xml:space="preserve">2026-02-13</t>
  </si>
  <si>
    <t xml:space="preserve">2026-08-05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</si>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</sst>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2"/>
    <col collapsed="false" customWidth="true" hidden="false" outlineLevel="0" max="3" min="3" style="0" width="21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19"/>
    <col collapsed="false" customWidth="true" hidden="false" outlineLevel="0" max="8" min="8" style="0" width="16"/>
    <col collapsed="false" customWidth="true" hidden="false" outlineLevel="0" max="9" min="9" style="0" width="23"/>
    <col collapsed="false" customWidth="true" hidden="false" outlineLevel="0" max="11" min="10" style="0" width="13"/>
    <col collapsed="false" customWidth="true" hidden="false" outlineLevel="0" max="12" min="12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n">
        <v>28000</v>
      </c>
      <c r="H2" s="2" t="n">
        <v>75</v>
      </c>
      <c r="I2" s="3" t="n">
        <f aca="false">G2*H2/100</f>
        <v>21000</v>
      </c>
      <c r="J2" s="2" t="s">
        <v>18</v>
      </c>
      <c r="K2" s="2" t="s">
        <v>19</v>
      </c>
      <c r="L2" s="2" t="s">
        <v>20</v>
      </c>
    </row>
    <row r="3" customFormat="false" ht="15" hidden="false" customHeight="false" outlineLevel="0" collapsed="false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17</v>
      </c>
      <c r="G3" s="3" t="n">
        <v>240000</v>
      </c>
      <c r="H3" s="2" t="n">
        <v>75</v>
      </c>
      <c r="I3" s="3" t="n">
        <f aca="false">G3*H3/100</f>
        <v>180000</v>
      </c>
      <c r="J3" s="2" t="s">
        <v>26</v>
      </c>
      <c r="K3" s="2" t="s">
        <v>27</v>
      </c>
      <c r="L3" s="2" t="s">
        <v>28</v>
      </c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  <c r="E4" s="2" t="s">
        <v>16</v>
      </c>
      <c r="F4" s="2" t="s">
        <v>33</v>
      </c>
      <c r="G4" s="3" t="n">
        <v>28000</v>
      </c>
      <c r="H4" s="2" t="n">
        <v>50</v>
      </c>
      <c r="I4" s="3" t="n">
        <f aca="false">G4*H4/100</f>
        <v>14000</v>
      </c>
      <c r="J4" s="2" t="s">
        <v>34</v>
      </c>
      <c r="K4" s="2" t="s">
        <v>35</v>
      </c>
      <c r="L4" s="2" t="s">
        <v>36</v>
      </c>
    </row>
    <row r="5" customFormat="false" ht="15" hidden="false" customHeight="false" outlineLevel="0" collapsed="false">
      <c r="A5" s="2" t="s">
        <v>37</v>
      </c>
      <c r="B5" s="2" t="s">
        <v>38</v>
      </c>
      <c r="C5" s="2" t="s">
        <v>39</v>
      </c>
      <c r="D5" s="2" t="s">
        <v>24</v>
      </c>
      <c r="E5" s="2" t="s">
        <v>16</v>
      </c>
      <c r="F5" s="2" t="s">
        <v>40</v>
      </c>
      <c r="G5" s="3" t="n">
        <v>28000</v>
      </c>
      <c r="H5" s="2" t="n">
        <v>100</v>
      </c>
      <c r="I5" s="3" t="n">
        <f aca="false">G5*H5/100</f>
        <v>28000</v>
      </c>
      <c r="J5" s="2" t="s">
        <v>18</v>
      </c>
      <c r="K5" s="2" t="s">
        <v>41</v>
      </c>
      <c r="L5" s="2" t="s">
        <v>36</v>
      </c>
    </row>
    <row r="6" customFormat="false" ht="15" hidden="false" customHeight="false" outlineLevel="0" collapsed="false">
      <c r="A6" s="2" t="s">
        <v>42</v>
      </c>
      <c r="B6" s="2" t="s">
        <v>13</v>
      </c>
      <c r="C6" s="2" t="s">
        <v>43</v>
      </c>
      <c r="D6" s="2" t="s">
        <v>15</v>
      </c>
      <c r="E6" s="2" t="s">
        <v>25</v>
      </c>
      <c r="F6" s="2" t="s">
        <v>44</v>
      </c>
      <c r="G6" s="3" t="n">
        <v>120000</v>
      </c>
      <c r="H6" s="2" t="n">
        <v>10</v>
      </c>
      <c r="I6" s="3" t="n">
        <f aca="false">G6*H6/100</f>
        <v>12000</v>
      </c>
      <c r="J6" s="2" t="s">
        <v>45</v>
      </c>
      <c r="K6" s="2" t="s">
        <v>46</v>
      </c>
      <c r="L6" s="2" t="s">
        <v>47</v>
      </c>
    </row>
    <row r="7" customFormat="false" ht="15" hidden="false" customHeight="false" outlineLevel="0" collapsed="false">
      <c r="A7" s="2" t="s">
        <v>48</v>
      </c>
      <c r="B7" s="2" t="s">
        <v>49</v>
      </c>
      <c r="C7" s="2" t="s">
        <v>39</v>
      </c>
      <c r="D7" s="2" t="s">
        <v>32</v>
      </c>
      <c r="E7" s="2" t="s">
        <v>25</v>
      </c>
      <c r="F7" s="2" t="s">
        <v>44</v>
      </c>
      <c r="G7" s="3" t="n">
        <v>28000</v>
      </c>
      <c r="H7" s="2" t="n">
        <v>10</v>
      </c>
      <c r="I7" s="3" t="n">
        <f aca="false">G7*H7/100</f>
        <v>2800</v>
      </c>
      <c r="J7" s="2" t="s">
        <v>50</v>
      </c>
      <c r="K7" s="2" t="s">
        <v>51</v>
      </c>
      <c r="L7" s="2" t="s">
        <v>52</v>
      </c>
    </row>
    <row r="8" customFormat="false" ht="15" hidden="false" customHeight="false" outlineLevel="0" collapsed="false">
      <c r="A8" s="2" t="s">
        <v>53</v>
      </c>
      <c r="B8" s="2" t="s">
        <v>13</v>
      </c>
      <c r="C8" s="2" t="s">
        <v>23</v>
      </c>
      <c r="D8" s="2" t="s">
        <v>32</v>
      </c>
      <c r="E8" s="2" t="s">
        <v>16</v>
      </c>
      <c r="F8" s="2" t="s">
        <v>54</v>
      </c>
      <c r="G8" s="3" t="n">
        <v>85000</v>
      </c>
      <c r="H8" s="2" t="n">
        <v>25</v>
      </c>
      <c r="I8" s="3" t="n">
        <f aca="false">G8*H8/100</f>
        <v>21250</v>
      </c>
      <c r="J8" s="2" t="s">
        <v>50</v>
      </c>
      <c r="K8" s="2" t="s">
        <v>55</v>
      </c>
      <c r="L8" s="2" t="s">
        <v>56</v>
      </c>
    </row>
    <row r="9" customFormat="false" ht="15" hidden="false" customHeight="false" outlineLevel="0" collapsed="false">
      <c r="A9" s="2" t="s">
        <v>57</v>
      </c>
      <c r="B9" s="2" t="s">
        <v>22</v>
      </c>
      <c r="C9" s="2" t="s">
        <v>43</v>
      </c>
      <c r="D9" s="2" t="s">
        <v>32</v>
      </c>
      <c r="E9" s="2" t="s">
        <v>25</v>
      </c>
      <c r="F9" s="2" t="s">
        <v>58</v>
      </c>
      <c r="G9" s="3" t="n">
        <v>120000</v>
      </c>
      <c r="H9" s="2" t="n">
        <v>0</v>
      </c>
      <c r="I9" s="3" t="n">
        <f aca="false">G9*H9/100</f>
        <v>0</v>
      </c>
      <c r="J9" s="2" t="s">
        <v>18</v>
      </c>
      <c r="K9" s="2" t="s">
        <v>59</v>
      </c>
      <c r="L9" s="2" t="s">
        <v>60</v>
      </c>
    </row>
    <row r="10" customFormat="false" ht="15" hidden="false" customHeight="false" outlineLevel="0" collapsed="false">
      <c r="A10" s="2" t="s">
        <v>61</v>
      </c>
      <c r="B10" s="2" t="s">
        <v>49</v>
      </c>
      <c r="C10" s="2" t="s">
        <v>23</v>
      </c>
      <c r="D10" s="2" t="s">
        <v>62</v>
      </c>
      <c r="E10" s="2" t="s">
        <v>25</v>
      </c>
      <c r="F10" s="2" t="s">
        <v>40</v>
      </c>
      <c r="G10" s="3" t="n">
        <v>60000</v>
      </c>
      <c r="H10" s="2" t="n">
        <v>100</v>
      </c>
      <c r="I10" s="3" t="n">
        <f aca="false">G10*H10/100</f>
        <v>60000</v>
      </c>
      <c r="J10" s="2" t="s">
        <v>26</v>
      </c>
      <c r="K10" s="2" t="s">
        <v>63</v>
      </c>
      <c r="L10" s="2" t="s">
        <v>64</v>
      </c>
    </row>
    <row r="11" customFormat="false" ht="15" hidden="false" customHeight="false" outlineLevel="0" collapsed="false">
      <c r="A11" s="2" t="s">
        <v>65</v>
      </c>
      <c r="B11" s="2" t="s">
        <v>66</v>
      </c>
      <c r="C11" s="2" t="s">
        <v>23</v>
      </c>
      <c r="D11" s="2" t="s">
        <v>62</v>
      </c>
      <c r="E11" s="2" t="s">
        <v>67</v>
      </c>
      <c r="F11" s="2" t="s">
        <v>33</v>
      </c>
      <c r="G11" s="3" t="n">
        <v>28000</v>
      </c>
      <c r="H11" s="2" t="n">
        <v>50</v>
      </c>
      <c r="I11" s="3" t="n">
        <f aca="false">G11*H11/100</f>
        <v>14000</v>
      </c>
      <c r="J11" s="2" t="s">
        <v>34</v>
      </c>
      <c r="K11" s="2" t="s">
        <v>68</v>
      </c>
      <c r="L11" s="2" t="s">
        <v>69</v>
      </c>
    </row>
    <row r="12" customFormat="false" ht="15" hidden="false" customHeight="false" outlineLevel="0" collapsed="false">
      <c r="A12" s="2" t="s">
        <v>70</v>
      </c>
      <c r="B12" s="2" t="s">
        <v>49</v>
      </c>
      <c r="C12" s="2" t="s">
        <v>71</v>
      </c>
      <c r="D12" s="2" t="s">
        <v>32</v>
      </c>
      <c r="E12" s="2" t="s">
        <v>72</v>
      </c>
      <c r="F12" s="2" t="s">
        <v>40</v>
      </c>
      <c r="G12" s="3" t="n">
        <v>240000</v>
      </c>
      <c r="H12" s="2" t="n">
        <v>100</v>
      </c>
      <c r="I12" s="3" t="n">
        <f aca="false">G12*H12/100</f>
        <v>240000</v>
      </c>
      <c r="J12" s="2" t="s">
        <v>18</v>
      </c>
      <c r="K12" s="2" t="s">
        <v>73</v>
      </c>
      <c r="L12" s="2" t="s">
        <v>74</v>
      </c>
    </row>
    <row r="13" customFormat="false" ht="15" hidden="false" customHeight="false" outlineLevel="0" collapsed="false">
      <c r="A13" s="2" t="s">
        <v>75</v>
      </c>
      <c r="B13" s="2" t="s">
        <v>76</v>
      </c>
      <c r="C13" s="2" t="s">
        <v>43</v>
      </c>
      <c r="D13" s="2" t="s">
        <v>15</v>
      </c>
      <c r="E13" s="2" t="s">
        <v>25</v>
      </c>
      <c r="F13" s="2" t="s">
        <v>17</v>
      </c>
      <c r="G13" s="3" t="n">
        <v>180000</v>
      </c>
      <c r="H13" s="2" t="n">
        <v>75</v>
      </c>
      <c r="I13" s="3" t="n">
        <f aca="false">G13*H13/100</f>
        <v>135000</v>
      </c>
      <c r="J13" s="2" t="s">
        <v>26</v>
      </c>
      <c r="K13" s="2" t="s">
        <v>77</v>
      </c>
      <c r="L13" s="2" t="s">
        <v>47</v>
      </c>
    </row>
    <row r="14" customFormat="false" ht="15" hidden="false" customHeight="false" outlineLevel="0" collapsed="false">
      <c r="A14" s="2" t="s">
        <v>78</v>
      </c>
      <c r="B14" s="2" t="s">
        <v>79</v>
      </c>
      <c r="C14" s="2" t="s">
        <v>71</v>
      </c>
      <c r="D14" s="2" t="s">
        <v>32</v>
      </c>
      <c r="E14" s="2" t="s">
        <v>16</v>
      </c>
      <c r="F14" s="2" t="s">
        <v>54</v>
      </c>
      <c r="G14" s="3" t="n">
        <v>240000</v>
      </c>
      <c r="H14" s="2" t="n">
        <v>25</v>
      </c>
      <c r="I14" s="3" t="n">
        <f aca="false">G14*H14/100</f>
        <v>60000</v>
      </c>
      <c r="J14" s="2" t="s">
        <v>45</v>
      </c>
      <c r="K14" s="2" t="s">
        <v>80</v>
      </c>
      <c r="L14" s="2" t="s">
        <v>81</v>
      </c>
    </row>
    <row r="15" customFormat="false" ht="15" hidden="false" customHeight="false" outlineLevel="0" collapsed="false">
      <c r="A15" s="2" t="s">
        <v>82</v>
      </c>
      <c r="B15" s="2" t="s">
        <v>13</v>
      </c>
      <c r="C15" s="2" t="s">
        <v>39</v>
      </c>
      <c r="D15" s="2" t="s">
        <v>15</v>
      </c>
      <c r="E15" s="2" t="s">
        <v>25</v>
      </c>
      <c r="F15" s="2" t="s">
        <v>44</v>
      </c>
      <c r="G15" s="3" t="n">
        <v>15000</v>
      </c>
      <c r="H15" s="2" t="n">
        <v>10</v>
      </c>
      <c r="I15" s="3" t="n">
        <f aca="false">G15*H15/100</f>
        <v>1500</v>
      </c>
      <c r="J15" s="2" t="s">
        <v>18</v>
      </c>
      <c r="K15" s="2" t="s">
        <v>83</v>
      </c>
      <c r="L15" s="2" t="s">
        <v>84</v>
      </c>
    </row>
    <row r="16" customFormat="false" ht="15" hidden="false" customHeight="false" outlineLevel="0" collapsed="false">
      <c r="A16" s="2" t="s">
        <v>85</v>
      </c>
      <c r="B16" s="2" t="s">
        <v>79</v>
      </c>
      <c r="C16" s="2" t="s">
        <v>71</v>
      </c>
      <c r="D16" s="2" t="s">
        <v>32</v>
      </c>
      <c r="E16" s="2" t="s">
        <v>25</v>
      </c>
      <c r="F16" s="2" t="s">
        <v>17</v>
      </c>
      <c r="G16" s="3" t="n">
        <v>15000</v>
      </c>
      <c r="H16" s="2" t="n">
        <v>75</v>
      </c>
      <c r="I16" s="3" t="n">
        <f aca="false">G16*H16/100</f>
        <v>11250</v>
      </c>
      <c r="J16" s="2" t="s">
        <v>34</v>
      </c>
      <c r="K16" s="2" t="s">
        <v>86</v>
      </c>
      <c r="L16" s="2" t="s">
        <v>87</v>
      </c>
    </row>
    <row r="17" customFormat="false" ht="15" hidden="false" customHeight="false" outlineLevel="0" collapsed="false">
      <c r="A17" s="2" t="s">
        <v>88</v>
      </c>
      <c r="B17" s="2" t="s">
        <v>89</v>
      </c>
      <c r="C17" s="2" t="s">
        <v>71</v>
      </c>
      <c r="D17" s="2" t="s">
        <v>62</v>
      </c>
      <c r="E17" s="2" t="s">
        <v>67</v>
      </c>
      <c r="F17" s="2" t="s">
        <v>58</v>
      </c>
      <c r="G17" s="3" t="n">
        <v>240000</v>
      </c>
      <c r="H17" s="2" t="n">
        <v>0</v>
      </c>
      <c r="I17" s="3" t="n">
        <f aca="false">G17*H17/100</f>
        <v>0</v>
      </c>
      <c r="J17" s="2" t="s">
        <v>18</v>
      </c>
      <c r="K17" s="2" t="s">
        <v>90</v>
      </c>
      <c r="L17" s="2" t="s">
        <v>91</v>
      </c>
    </row>
    <row r="18" customFormat="false" ht="15" hidden="false" customHeight="false" outlineLevel="0" collapsed="false">
      <c r="A18" s="2" t="s">
        <v>92</v>
      </c>
      <c r="B18" s="2" t="s">
        <v>66</v>
      </c>
      <c r="C18" s="2" t="s">
        <v>14</v>
      </c>
      <c r="D18" s="2" t="s">
        <v>15</v>
      </c>
      <c r="E18" s="2" t="s">
        <v>72</v>
      </c>
      <c r="F18" s="2" t="s">
        <v>58</v>
      </c>
      <c r="G18" s="3" t="n">
        <v>120000</v>
      </c>
      <c r="H18" s="2" t="n">
        <v>0</v>
      </c>
      <c r="I18" s="3" t="n">
        <f aca="false">G18*H18/100</f>
        <v>0</v>
      </c>
      <c r="J18" s="2" t="s">
        <v>50</v>
      </c>
      <c r="K18" s="2" t="s">
        <v>93</v>
      </c>
      <c r="L18" s="2" t="s">
        <v>94</v>
      </c>
    </row>
    <row r="19" customFormat="false" ht="15" hidden="false" customHeight="false" outlineLevel="0" collapsed="false">
      <c r="A19" s="2" t="s">
        <v>95</v>
      </c>
      <c r="B19" s="2" t="s">
        <v>96</v>
      </c>
      <c r="C19" s="2" t="s">
        <v>23</v>
      </c>
      <c r="D19" s="2" t="s">
        <v>15</v>
      </c>
      <c r="E19" s="2" t="s">
        <v>16</v>
      </c>
      <c r="F19" s="2" t="s">
        <v>54</v>
      </c>
      <c r="G19" s="3" t="n">
        <v>28000</v>
      </c>
      <c r="H19" s="2" t="n">
        <v>25</v>
      </c>
      <c r="I19" s="3" t="n">
        <f aca="false">G19*H19/100</f>
        <v>7000</v>
      </c>
      <c r="J19" s="2" t="s">
        <v>34</v>
      </c>
      <c r="K19" s="2" t="s">
        <v>90</v>
      </c>
      <c r="L19" s="2" t="s">
        <v>97</v>
      </c>
    </row>
    <row r="20" customFormat="false" ht="15" hidden="false" customHeight="false" outlineLevel="0" collapsed="false">
      <c r="A20" s="2" t="s">
        <v>98</v>
      </c>
      <c r="B20" s="2" t="s">
        <v>49</v>
      </c>
      <c r="C20" s="2" t="s">
        <v>43</v>
      </c>
      <c r="D20" s="2" t="s">
        <v>24</v>
      </c>
      <c r="E20" s="2" t="s">
        <v>67</v>
      </c>
      <c r="F20" s="2" t="s">
        <v>44</v>
      </c>
      <c r="G20" s="3" t="n">
        <v>28000</v>
      </c>
      <c r="H20" s="2" t="n">
        <v>10</v>
      </c>
      <c r="I20" s="3" t="n">
        <f aca="false">G20*H20/100</f>
        <v>2800</v>
      </c>
      <c r="J20" s="2" t="s">
        <v>18</v>
      </c>
      <c r="K20" s="2" t="s">
        <v>99</v>
      </c>
      <c r="L20" s="2" t="s">
        <v>100</v>
      </c>
    </row>
    <row r="21" customFormat="false" ht="15" hidden="false" customHeight="false" outlineLevel="0" collapsed="false">
      <c r="A21" s="2" t="s">
        <v>101</v>
      </c>
      <c r="B21" s="2" t="s">
        <v>22</v>
      </c>
      <c r="C21" s="2" t="s">
        <v>43</v>
      </c>
      <c r="D21" s="2" t="s">
        <v>24</v>
      </c>
      <c r="E21" s="2" t="s">
        <v>25</v>
      </c>
      <c r="F21" s="2" t="s">
        <v>54</v>
      </c>
      <c r="G21" s="3" t="n">
        <v>85000</v>
      </c>
      <c r="H21" s="2" t="n">
        <v>25</v>
      </c>
      <c r="I21" s="3" t="n">
        <f aca="false">G21*H21/100</f>
        <v>21250</v>
      </c>
      <c r="J21" s="2" t="s">
        <v>26</v>
      </c>
      <c r="K21" s="2" t="s">
        <v>102</v>
      </c>
      <c r="L21" s="2" t="s">
        <v>64</v>
      </c>
    </row>
    <row r="22" customFormat="false" ht="15" hidden="false" customHeight="false" outlineLevel="0" collapsed="false">
      <c r="A22" s="2" t="s">
        <v>103</v>
      </c>
      <c r="B22" s="2" t="s">
        <v>13</v>
      </c>
      <c r="C22" s="2" t="s">
        <v>71</v>
      </c>
      <c r="D22" s="2" t="s">
        <v>24</v>
      </c>
      <c r="E22" s="2" t="s">
        <v>25</v>
      </c>
      <c r="F22" s="2" t="s">
        <v>54</v>
      </c>
      <c r="G22" s="3" t="n">
        <v>85000</v>
      </c>
      <c r="H22" s="2" t="n">
        <v>25</v>
      </c>
      <c r="I22" s="3" t="n">
        <f aca="false">G22*H22/100</f>
        <v>21250</v>
      </c>
      <c r="J22" s="2" t="s">
        <v>18</v>
      </c>
      <c r="K22" s="2" t="s">
        <v>104</v>
      </c>
      <c r="L22" s="2" t="s">
        <v>81</v>
      </c>
    </row>
    <row r="23" customFormat="false" ht="15" hidden="false" customHeight="false" outlineLevel="0" collapsed="false">
      <c r="A23" s="2" t="s">
        <v>105</v>
      </c>
      <c r="B23" s="2" t="s">
        <v>13</v>
      </c>
      <c r="C23" s="2" t="s">
        <v>23</v>
      </c>
      <c r="D23" s="2" t="s">
        <v>15</v>
      </c>
      <c r="E23" s="2" t="s">
        <v>67</v>
      </c>
      <c r="F23" s="2" t="s">
        <v>58</v>
      </c>
      <c r="G23" s="3" t="n">
        <v>85000</v>
      </c>
      <c r="H23" s="2" t="n">
        <v>0</v>
      </c>
      <c r="I23" s="3" t="n">
        <f aca="false">G23*H23/100</f>
        <v>0</v>
      </c>
      <c r="J23" s="2" t="s">
        <v>26</v>
      </c>
      <c r="K23" s="2" t="s">
        <v>106</v>
      </c>
      <c r="L23" s="2" t="s">
        <v>107</v>
      </c>
    </row>
    <row r="24" customFormat="false" ht="15" hidden="false" customHeight="false" outlineLevel="0" collapsed="false">
      <c r="A24" s="2" t="s">
        <v>108</v>
      </c>
      <c r="B24" s="2" t="s">
        <v>89</v>
      </c>
      <c r="C24" s="2" t="s">
        <v>31</v>
      </c>
      <c r="D24" s="2" t="s">
        <v>24</v>
      </c>
      <c r="E24" s="2" t="s">
        <v>16</v>
      </c>
      <c r="F24" s="2" t="s">
        <v>40</v>
      </c>
      <c r="G24" s="3" t="n">
        <v>42000</v>
      </c>
      <c r="H24" s="2" t="n">
        <v>100</v>
      </c>
      <c r="I24" s="3" t="n">
        <f aca="false">G24*H24/100</f>
        <v>42000</v>
      </c>
      <c r="J24" s="2" t="s">
        <v>45</v>
      </c>
      <c r="K24" s="2" t="s">
        <v>106</v>
      </c>
      <c r="L24" s="2" t="s">
        <v>52</v>
      </c>
    </row>
    <row r="25" customFormat="false" ht="15" hidden="false" customHeight="false" outlineLevel="0" collapsed="false">
      <c r="A25" s="2" t="s">
        <v>109</v>
      </c>
      <c r="B25" s="2" t="s">
        <v>110</v>
      </c>
      <c r="C25" s="2" t="s">
        <v>39</v>
      </c>
      <c r="D25" s="2" t="s">
        <v>32</v>
      </c>
      <c r="E25" s="2" t="s">
        <v>67</v>
      </c>
      <c r="F25" s="2" t="s">
        <v>44</v>
      </c>
      <c r="G25" s="3" t="n">
        <v>28000</v>
      </c>
      <c r="H25" s="2" t="n">
        <v>10</v>
      </c>
      <c r="I25" s="3" t="n">
        <f aca="false">G25*H25/100</f>
        <v>2800</v>
      </c>
      <c r="J25" s="2" t="s">
        <v>26</v>
      </c>
      <c r="K25" s="2" t="s">
        <v>111</v>
      </c>
      <c r="L25" s="2" t="s">
        <v>112</v>
      </c>
    </row>
    <row r="26" customFormat="false" ht="15" hidden="false" customHeight="false" outlineLevel="0" collapsed="false">
      <c r="A26" s="2" t="s">
        <v>113</v>
      </c>
      <c r="B26" s="2" t="s">
        <v>110</v>
      </c>
      <c r="C26" s="2" t="s">
        <v>23</v>
      </c>
      <c r="D26" s="2" t="s">
        <v>32</v>
      </c>
      <c r="E26" s="2" t="s">
        <v>25</v>
      </c>
      <c r="F26" s="2" t="s">
        <v>54</v>
      </c>
      <c r="G26" s="3" t="n">
        <v>240000</v>
      </c>
      <c r="H26" s="2" t="n">
        <v>25</v>
      </c>
      <c r="I26" s="3" t="n">
        <f aca="false">G26*H26/100</f>
        <v>60000</v>
      </c>
      <c r="J26" s="2" t="s">
        <v>26</v>
      </c>
      <c r="K26" s="2" t="s">
        <v>114</v>
      </c>
      <c r="L26" s="2" t="s">
        <v>115</v>
      </c>
    </row>
    <row r="27" customFormat="false" ht="15" hidden="false" customHeight="false" outlineLevel="0" collapsed="false">
      <c r="A27" s="2" t="s">
        <v>116</v>
      </c>
      <c r="B27" s="2" t="s">
        <v>76</v>
      </c>
      <c r="C27" s="2" t="s">
        <v>43</v>
      </c>
      <c r="D27" s="2" t="s">
        <v>62</v>
      </c>
      <c r="E27" s="2" t="s">
        <v>25</v>
      </c>
      <c r="F27" s="2" t="s">
        <v>40</v>
      </c>
      <c r="G27" s="3" t="n">
        <v>42000</v>
      </c>
      <c r="H27" s="2" t="n">
        <v>100</v>
      </c>
      <c r="I27" s="3" t="n">
        <f aca="false">G27*H27/100</f>
        <v>42000</v>
      </c>
      <c r="J27" s="2" t="s">
        <v>45</v>
      </c>
      <c r="K27" s="2" t="s">
        <v>117</v>
      </c>
      <c r="L27" s="2" t="s">
        <v>118</v>
      </c>
    </row>
    <row r="28" customFormat="false" ht="15" hidden="false" customHeight="false" outlineLevel="0" collapsed="false">
      <c r="A28" s="2" t="s">
        <v>119</v>
      </c>
      <c r="B28" s="2" t="s">
        <v>30</v>
      </c>
      <c r="C28" s="2" t="s">
        <v>31</v>
      </c>
      <c r="D28" s="2" t="s">
        <v>32</v>
      </c>
      <c r="E28" s="2" t="s">
        <v>16</v>
      </c>
      <c r="F28" s="2" t="s">
        <v>54</v>
      </c>
      <c r="G28" s="3" t="n">
        <v>28000</v>
      </c>
      <c r="H28" s="2" t="n">
        <v>25</v>
      </c>
      <c r="I28" s="3" t="n">
        <f aca="false">G28*H28/100</f>
        <v>7000</v>
      </c>
      <c r="J28" s="2" t="s">
        <v>18</v>
      </c>
      <c r="K28" s="2" t="s">
        <v>120</v>
      </c>
      <c r="L28" s="2" t="s">
        <v>60</v>
      </c>
    </row>
    <row r="29" customFormat="false" ht="15" hidden="false" customHeight="false" outlineLevel="0" collapsed="false">
      <c r="A29" s="2" t="s">
        <v>121</v>
      </c>
      <c r="B29" s="2" t="s">
        <v>38</v>
      </c>
      <c r="C29" s="2" t="s">
        <v>43</v>
      </c>
      <c r="D29" s="2" t="s">
        <v>62</v>
      </c>
      <c r="E29" s="2" t="s">
        <v>67</v>
      </c>
      <c r="F29" s="2" t="s">
        <v>58</v>
      </c>
      <c r="G29" s="3" t="n">
        <v>120000</v>
      </c>
      <c r="H29" s="2" t="n">
        <v>0</v>
      </c>
      <c r="I29" s="3" t="n">
        <f aca="false">G29*H29/100</f>
        <v>0</v>
      </c>
      <c r="J29" s="2" t="s">
        <v>18</v>
      </c>
      <c r="K29" s="2" t="s">
        <v>122</v>
      </c>
      <c r="L29" s="2" t="s">
        <v>123</v>
      </c>
    </row>
    <row r="30" customFormat="false" ht="15" hidden="false" customHeight="false" outlineLevel="0" collapsed="false">
      <c r="A30" s="2" t="s">
        <v>124</v>
      </c>
      <c r="B30" s="2" t="s">
        <v>66</v>
      </c>
      <c r="C30" s="2" t="s">
        <v>71</v>
      </c>
      <c r="D30" s="2" t="s">
        <v>32</v>
      </c>
      <c r="E30" s="2" t="s">
        <v>67</v>
      </c>
      <c r="F30" s="2" t="s">
        <v>17</v>
      </c>
      <c r="G30" s="3" t="n">
        <v>60000</v>
      </c>
      <c r="H30" s="2" t="n">
        <v>75</v>
      </c>
      <c r="I30" s="3" t="n">
        <f aca="false">G30*H30/100</f>
        <v>45000</v>
      </c>
      <c r="J30" s="2" t="s">
        <v>45</v>
      </c>
      <c r="K30" s="2" t="s">
        <v>125</v>
      </c>
      <c r="L30" s="2" t="s">
        <v>126</v>
      </c>
    </row>
    <row r="31" customFormat="false" ht="15" hidden="false" customHeight="false" outlineLevel="0" collapsed="false">
      <c r="A31" s="2" t="s">
        <v>127</v>
      </c>
      <c r="B31" s="2" t="s">
        <v>79</v>
      </c>
      <c r="C31" s="2" t="s">
        <v>31</v>
      </c>
      <c r="D31" s="2" t="s">
        <v>15</v>
      </c>
      <c r="E31" s="2" t="s">
        <v>67</v>
      </c>
      <c r="F31" s="2" t="s">
        <v>17</v>
      </c>
      <c r="G31" s="3" t="n">
        <v>120000</v>
      </c>
      <c r="H31" s="2" t="n">
        <v>75</v>
      </c>
      <c r="I31" s="3" t="n">
        <f aca="false">G31*H31/100</f>
        <v>90000</v>
      </c>
      <c r="J31" s="2" t="s">
        <v>45</v>
      </c>
      <c r="K31" s="2" t="s">
        <v>128</v>
      </c>
      <c r="L31" s="2" t="s">
        <v>129</v>
      </c>
    </row>
    <row r="32" customFormat="false" ht="15" hidden="false" customHeight="false" outlineLevel="0" collapsed="false">
      <c r="A32" s="2" t="s">
        <v>130</v>
      </c>
      <c r="B32" s="2" t="s">
        <v>13</v>
      </c>
      <c r="C32" s="2" t="s">
        <v>14</v>
      </c>
      <c r="D32" s="2" t="s">
        <v>24</v>
      </c>
      <c r="E32" s="2" t="s">
        <v>16</v>
      </c>
      <c r="F32" s="2" t="s">
        <v>33</v>
      </c>
      <c r="G32" s="3" t="n">
        <v>15000</v>
      </c>
      <c r="H32" s="2" t="n">
        <v>50</v>
      </c>
      <c r="I32" s="3" t="n">
        <f aca="false">G32*H32/100</f>
        <v>7500</v>
      </c>
      <c r="J32" s="2" t="s">
        <v>50</v>
      </c>
      <c r="K32" s="2" t="s">
        <v>117</v>
      </c>
      <c r="L32" s="2" t="s">
        <v>131</v>
      </c>
    </row>
    <row r="33" customFormat="false" ht="15" hidden="false" customHeight="false" outlineLevel="0" collapsed="false">
      <c r="A33" s="2" t="s">
        <v>132</v>
      </c>
      <c r="B33" s="2" t="s">
        <v>22</v>
      </c>
      <c r="C33" s="2" t="s">
        <v>43</v>
      </c>
      <c r="D33" s="2" t="s">
        <v>15</v>
      </c>
      <c r="E33" s="2" t="s">
        <v>72</v>
      </c>
      <c r="F33" s="2" t="s">
        <v>33</v>
      </c>
      <c r="G33" s="3" t="n">
        <v>120000</v>
      </c>
      <c r="H33" s="2" t="n">
        <v>50</v>
      </c>
      <c r="I33" s="3" t="n">
        <f aca="false">G33*H33/100</f>
        <v>60000</v>
      </c>
      <c r="J33" s="2" t="s">
        <v>50</v>
      </c>
      <c r="K33" s="2" t="s">
        <v>106</v>
      </c>
      <c r="L33" s="2" t="s">
        <v>133</v>
      </c>
    </row>
    <row r="34" customFormat="false" ht="15" hidden="false" customHeight="false" outlineLevel="0" collapsed="false">
      <c r="A34" s="2" t="s">
        <v>134</v>
      </c>
      <c r="B34" s="2" t="s">
        <v>22</v>
      </c>
      <c r="C34" s="2" t="s">
        <v>31</v>
      </c>
      <c r="D34" s="2" t="s">
        <v>32</v>
      </c>
      <c r="E34" s="2" t="s">
        <v>25</v>
      </c>
      <c r="F34" s="2" t="s">
        <v>44</v>
      </c>
      <c r="G34" s="3" t="n">
        <v>60000</v>
      </c>
      <c r="H34" s="2" t="n">
        <v>10</v>
      </c>
      <c r="I34" s="3" t="n">
        <f aca="false">G34*H34/100</f>
        <v>6000</v>
      </c>
      <c r="J34" s="2" t="s">
        <v>45</v>
      </c>
      <c r="K34" s="2" t="s">
        <v>135</v>
      </c>
      <c r="L34" s="2" t="s">
        <v>136</v>
      </c>
    </row>
    <row r="35" customFormat="false" ht="15" hidden="false" customHeight="false" outlineLevel="0" collapsed="false">
      <c r="A35" s="2" t="s">
        <v>137</v>
      </c>
      <c r="B35" s="2" t="s">
        <v>96</v>
      </c>
      <c r="C35" s="2" t="s">
        <v>23</v>
      </c>
      <c r="D35" s="2" t="s">
        <v>24</v>
      </c>
      <c r="E35" s="2" t="s">
        <v>72</v>
      </c>
      <c r="F35" s="2" t="s">
        <v>58</v>
      </c>
      <c r="G35" s="3" t="n">
        <v>85000</v>
      </c>
      <c r="H35" s="2" t="n">
        <v>0</v>
      </c>
      <c r="I35" s="3" t="n">
        <f aca="false">G35*H35/100</f>
        <v>0</v>
      </c>
      <c r="J35" s="2" t="s">
        <v>45</v>
      </c>
      <c r="K35" s="2" t="s">
        <v>138</v>
      </c>
      <c r="L35" s="2" t="s">
        <v>139</v>
      </c>
    </row>
    <row r="36" customFormat="false" ht="15" hidden="false" customHeight="false" outlineLevel="0" collapsed="false">
      <c r="A36" s="2" t="s">
        <v>140</v>
      </c>
      <c r="B36" s="2" t="s">
        <v>79</v>
      </c>
      <c r="C36" s="2" t="s">
        <v>39</v>
      </c>
      <c r="D36" s="2" t="s">
        <v>62</v>
      </c>
      <c r="E36" s="2" t="s">
        <v>67</v>
      </c>
      <c r="F36" s="2" t="s">
        <v>17</v>
      </c>
      <c r="G36" s="3" t="n">
        <v>180000</v>
      </c>
      <c r="H36" s="2" t="n">
        <v>75</v>
      </c>
      <c r="I36" s="3" t="n">
        <f aca="false">G36*H36/100</f>
        <v>135000</v>
      </c>
      <c r="J36" s="2" t="s">
        <v>34</v>
      </c>
      <c r="K36" s="2" t="s">
        <v>141</v>
      </c>
      <c r="L36" s="2" t="s">
        <v>142</v>
      </c>
    </row>
    <row r="37" customFormat="false" ht="15" hidden="false" customHeight="false" outlineLevel="0" collapsed="false">
      <c r="A37" s="2" t="s">
        <v>143</v>
      </c>
      <c r="B37" s="2" t="s">
        <v>79</v>
      </c>
      <c r="C37" s="2" t="s">
        <v>43</v>
      </c>
      <c r="D37" s="2" t="s">
        <v>32</v>
      </c>
      <c r="E37" s="2" t="s">
        <v>72</v>
      </c>
      <c r="F37" s="2" t="s">
        <v>17</v>
      </c>
      <c r="G37" s="3" t="n">
        <v>120000</v>
      </c>
      <c r="H37" s="2" t="n">
        <v>75</v>
      </c>
      <c r="I37" s="3" t="n">
        <f aca="false">G37*H37/100</f>
        <v>90000</v>
      </c>
      <c r="J37" s="2" t="s">
        <v>18</v>
      </c>
      <c r="K37" s="2" t="s">
        <v>144</v>
      </c>
      <c r="L37" s="2" t="s">
        <v>145</v>
      </c>
    </row>
    <row r="38" customFormat="false" ht="15" hidden="false" customHeight="false" outlineLevel="0" collapsed="false">
      <c r="A38" s="2" t="s">
        <v>146</v>
      </c>
      <c r="B38" s="2" t="s">
        <v>30</v>
      </c>
      <c r="C38" s="2" t="s">
        <v>23</v>
      </c>
      <c r="D38" s="2" t="s">
        <v>24</v>
      </c>
      <c r="E38" s="2" t="s">
        <v>25</v>
      </c>
      <c r="F38" s="2" t="s">
        <v>44</v>
      </c>
      <c r="G38" s="3" t="n">
        <v>85000</v>
      </c>
      <c r="H38" s="2" t="n">
        <v>10</v>
      </c>
      <c r="I38" s="3" t="n">
        <f aca="false">G38*H38/100</f>
        <v>8500</v>
      </c>
      <c r="J38" s="2" t="s">
        <v>18</v>
      </c>
      <c r="K38" s="2" t="s">
        <v>147</v>
      </c>
      <c r="L38" s="2" t="s">
        <v>148</v>
      </c>
    </row>
    <row r="39" customFormat="false" ht="15" hidden="false" customHeight="false" outlineLevel="0" collapsed="false">
      <c r="A39" s="2" t="s">
        <v>149</v>
      </c>
      <c r="B39" s="2" t="s">
        <v>79</v>
      </c>
      <c r="C39" s="2" t="s">
        <v>14</v>
      </c>
      <c r="D39" s="2" t="s">
        <v>62</v>
      </c>
      <c r="E39" s="2" t="s">
        <v>72</v>
      </c>
      <c r="F39" s="2" t="s">
        <v>54</v>
      </c>
      <c r="G39" s="3" t="n">
        <v>15000</v>
      </c>
      <c r="H39" s="2" t="n">
        <v>25</v>
      </c>
      <c r="I39" s="3" t="n">
        <f aca="false">G39*H39/100</f>
        <v>3750</v>
      </c>
      <c r="J39" s="2" t="s">
        <v>50</v>
      </c>
      <c r="K39" s="2" t="s">
        <v>150</v>
      </c>
      <c r="L39" s="2" t="s">
        <v>151</v>
      </c>
    </row>
    <row r="40" customFormat="false" ht="15" hidden="false" customHeight="false" outlineLevel="0" collapsed="false">
      <c r="A40" s="2" t="s">
        <v>152</v>
      </c>
      <c r="B40" s="2" t="s">
        <v>49</v>
      </c>
      <c r="C40" s="2" t="s">
        <v>43</v>
      </c>
      <c r="D40" s="2" t="s">
        <v>32</v>
      </c>
      <c r="E40" s="2" t="s">
        <v>16</v>
      </c>
      <c r="F40" s="2" t="s">
        <v>54</v>
      </c>
      <c r="G40" s="3" t="n">
        <v>180000</v>
      </c>
      <c r="H40" s="2" t="n">
        <v>25</v>
      </c>
      <c r="I40" s="3" t="n">
        <f aca="false">G40*H40/100</f>
        <v>45000</v>
      </c>
      <c r="J40" s="2" t="s">
        <v>18</v>
      </c>
      <c r="K40" s="2" t="s">
        <v>153</v>
      </c>
      <c r="L40" s="2" t="s">
        <v>154</v>
      </c>
    </row>
    <row r="41" customFormat="false" ht="15" hidden="false" customHeight="false" outlineLevel="0" collapsed="false">
      <c r="A41" s="2" t="s">
        <v>155</v>
      </c>
      <c r="B41" s="2" t="s">
        <v>22</v>
      </c>
      <c r="C41" s="2" t="s">
        <v>39</v>
      </c>
      <c r="D41" s="2" t="s">
        <v>32</v>
      </c>
      <c r="E41" s="2" t="s">
        <v>25</v>
      </c>
      <c r="F41" s="2" t="s">
        <v>54</v>
      </c>
      <c r="G41" s="3" t="n">
        <v>42000</v>
      </c>
      <c r="H41" s="2" t="n">
        <v>25</v>
      </c>
      <c r="I41" s="3" t="n">
        <f aca="false">G41*H41/100</f>
        <v>10500</v>
      </c>
      <c r="J41" s="2" t="s">
        <v>50</v>
      </c>
      <c r="K41" s="2" t="s">
        <v>156</v>
      </c>
      <c r="L41" s="2" t="s">
        <v>157</v>
      </c>
    </row>
    <row r="42" customFormat="false" ht="15" hidden="false" customHeight="false" outlineLevel="0" collapsed="false">
      <c r="A42" s="2"/>
      <c r="B42" s="2"/>
      <c r="C42" s="2"/>
      <c r="D42" s="2"/>
      <c r="E42" s="2"/>
      <c r="F42" s="2" t="s">
        <v>158</v>
      </c>
      <c r="G42" s="3" t="n">
        <f aca="false">SUM(G2:G41)</f>
        <v>3708000</v>
      </c>
      <c r="H42" s="2"/>
      <c r="I42" s="3" t="n">
        <f aca="false">SUM(I2:I41)</f>
        <v>1508150</v>
      </c>
      <c r="J42" s="2"/>
      <c r="K42" s="2"/>
      <c r="L4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2026-08-24T09:29:53.7823869Z</dcterms:created>
  <dc:creator>Wilson Tsui</dc:creator>
  <dc:description/>
  <dc:language>en-US</dc:language>
  <lastModifiedBy>Wilson Tsui</lastModifiedBy>
  <dcterms:modified xsi:type="dcterms:W3CDTF">2026-08-24T09:29:53.7823869Z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