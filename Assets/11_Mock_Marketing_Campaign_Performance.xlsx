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<sst xmlns="http://schemas.openxmlformats.org/spreadsheetml/2006/main" count="102" uniqueCount="32">
  <si>
    <t xml:space="preserve">Campaign</t>
  </si>
  <si>
    <t xml:space="preserve">Business Unit</t>
  </si>
  <si>
    <t xml:space="preserve">Channel</t>
  </si>
  <si>
    <t xml:space="preserve">Spend (USD)</t>
  </si>
  <si>
    <t xml:space="preserve">Impressions</t>
  </si>
  <si>
    <t xml:space="preserve">Clicks</t>
  </si>
  <si>
    <t xml:space="preserve">CTR %</t>
  </si>
  <si>
    <t xml:space="preserve">Leads</t>
  </si>
  <si>
    <t xml:space="preserve">Cost per Lead (USD)</t>
  </si>
  <si>
    <t xml:space="preserve">Conversions</t>
  </si>
  <si>
    <t xml:space="preserve">Revenue (USD)</t>
  </si>
  <si>
    <t xml:space="preserve">ROAS</t>
  </si>
  <si>
    <t xml:space="preserve">Spring Launch</t>
  </si>
  <si>
    <t xml:space="preserve">Contoso CloudWorks</t>
  </si>
  <si>
    <t xml:space="preserve">Email</t>
  </si>
  <si>
    <t xml:space="preserve">Referral Push</t>
  </si>
  <si>
    <t xml:space="preserve">Back-to-School</t>
  </si>
  <si>
    <t xml:space="preserve">Social</t>
  </si>
  <si>
    <t xml:space="preserve">Health Awareness</t>
  </si>
  <si>
    <t xml:space="preserve">Contoso Learning</t>
  </si>
  <si>
    <t xml:space="preserve">Paid Search</t>
  </si>
  <si>
    <t xml:space="preserve">Contoso Retail</t>
  </si>
  <si>
    <t xml:space="preserve">Holiday Promo</t>
  </si>
  <si>
    <t xml:space="preserve">Brand Refresh</t>
  </si>
  <si>
    <t xml:space="preserve">Contoso HealthCare</t>
  </si>
  <si>
    <t xml:space="preserve">Events</t>
  </si>
  <si>
    <t xml:space="preserve">Upgrade Nudge</t>
  </si>
  <si>
    <t xml:space="preserve">Contoso Manufacturing</t>
  </si>
  <si>
    <t xml:space="preserve">Loyalty Drive</t>
  </si>
  <si>
    <t xml:space="preserve">Display</t>
  </si>
  <si>
    <t xml:space="preserve">Contoso Financial</t>
  </si>
  <si>
    <t xml:space="preserve">Influencer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</si>
</sst>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.0\x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8" min="6" style="0" width="13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3" t="n">
        <v>25000</v>
      </c>
      <c r="E2" s="2" t="n">
        <v>650000</v>
      </c>
      <c r="F2" s="2" t="n">
        <v>16906</v>
      </c>
      <c r="G2" s="4" t="n">
        <f aca="false">F2/E2</f>
        <v>0.0260092307692308</v>
      </c>
      <c r="H2" s="2" t="n">
        <v>1444</v>
      </c>
      <c r="I2" s="3" t="n">
        <f aca="false">D2/H2</f>
        <v>17.3130193905817</v>
      </c>
      <c r="J2" s="2" t="n">
        <v>387</v>
      </c>
      <c r="K2" s="3" t="n">
        <v>348300</v>
      </c>
      <c r="L2" s="5" t="n">
        <f aca="false">K2/D2</f>
        <v>13.932</v>
      </c>
    </row>
    <row r="3" customFormat="false" ht="15" hidden="false" customHeight="false" outlineLevel="0" collapsed="false">
      <c r="A3" s="2" t="s">
        <v>15</v>
      </c>
      <c r="B3" s="2" t="s">
        <v>13</v>
      </c>
      <c r="C3" s="2" t="s">
        <v>14</v>
      </c>
      <c r="D3" s="3" t="n">
        <v>12000</v>
      </c>
      <c r="E3" s="2" t="n">
        <v>576000</v>
      </c>
      <c r="F3" s="2" t="n">
        <v>9603</v>
      </c>
      <c r="G3" s="4" t="n">
        <f aca="false">F3/E3</f>
        <v>0.016671875</v>
      </c>
      <c r="H3" s="2" t="n">
        <v>492</v>
      </c>
      <c r="I3" s="3" t="n">
        <f aca="false">D3/H3</f>
        <v>24.390243902439</v>
      </c>
      <c r="J3" s="2" t="n">
        <v>75</v>
      </c>
      <c r="K3" s="3" t="n">
        <v>67500</v>
      </c>
      <c r="L3" s="5" t="n">
        <f aca="false">K3/D3</f>
        <v>5.625</v>
      </c>
    </row>
    <row r="4" customFormat="false" ht="15" hidden="false" customHeight="false" outlineLevel="0" collapsed="false">
      <c r="A4" s="2" t="s">
        <v>16</v>
      </c>
      <c r="B4" s="2" t="s">
        <v>13</v>
      </c>
      <c r="C4" s="2" t="s">
        <v>17</v>
      </c>
      <c r="D4" s="3" t="n">
        <v>5000</v>
      </c>
      <c r="E4" s="2" t="n">
        <v>225000</v>
      </c>
      <c r="F4" s="2" t="n">
        <v>2840</v>
      </c>
      <c r="G4" s="4" t="n">
        <f aca="false">F4/E4</f>
        <v>0.0126222222222222</v>
      </c>
      <c r="H4" s="2" t="n">
        <v>333</v>
      </c>
      <c r="I4" s="3" t="n">
        <f aca="false">D4/H4</f>
        <v>15.015015015015</v>
      </c>
      <c r="J4" s="2" t="n">
        <v>90</v>
      </c>
      <c r="K4" s="3" t="n">
        <v>126000</v>
      </c>
      <c r="L4" s="5" t="n">
        <f aca="false">K4/D4</f>
        <v>25.2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17</v>
      </c>
      <c r="D5" s="3" t="n">
        <v>60000</v>
      </c>
      <c r="E5" s="2" t="n">
        <v>3600000</v>
      </c>
      <c r="F5" s="2" t="n">
        <v>73193</v>
      </c>
      <c r="G5" s="4" t="n">
        <f aca="false">F5/E5</f>
        <v>0.0203313888888889</v>
      </c>
      <c r="H5" s="2" t="n">
        <v>2336</v>
      </c>
      <c r="I5" s="3" t="n">
        <f aca="false">D5/H5</f>
        <v>25.6849315068493</v>
      </c>
      <c r="J5" s="2" t="n">
        <v>554</v>
      </c>
      <c r="K5" s="3" t="n">
        <v>304700</v>
      </c>
      <c r="L5" s="5" t="n">
        <f aca="false">K5/D5</f>
        <v>5.07833333333333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20</v>
      </c>
      <c r="D6" s="3" t="n">
        <v>5000</v>
      </c>
      <c r="E6" s="2" t="n">
        <v>275000</v>
      </c>
      <c r="F6" s="2" t="n">
        <v>3017</v>
      </c>
      <c r="G6" s="4" t="n">
        <f aca="false">F6/E6</f>
        <v>0.0109709090909091</v>
      </c>
      <c r="H6" s="2" t="n">
        <v>149</v>
      </c>
      <c r="I6" s="3" t="n">
        <f aca="false">D6/H6</f>
        <v>33.5570469798658</v>
      </c>
      <c r="J6" s="2" t="n">
        <v>38</v>
      </c>
      <c r="K6" s="3" t="n">
        <v>34200</v>
      </c>
      <c r="L6" s="5" t="n">
        <f aca="false">K6/D6</f>
        <v>6.84</v>
      </c>
    </row>
    <row r="7" customFormat="false" ht="15" hidden="false" customHeight="false" outlineLevel="0" collapsed="false">
      <c r="A7" s="2" t="s">
        <v>12</v>
      </c>
      <c r="B7" s="2" t="s">
        <v>21</v>
      </c>
      <c r="C7" s="2" t="s">
        <v>20</v>
      </c>
      <c r="D7" s="3" t="n">
        <v>18000</v>
      </c>
      <c r="E7" s="2" t="n">
        <v>522000</v>
      </c>
      <c r="F7" s="2" t="n">
        <v>15504</v>
      </c>
      <c r="G7" s="4" t="n">
        <f aca="false">F7/E7</f>
        <v>0.0297011494252874</v>
      </c>
      <c r="H7" s="2" t="n">
        <v>1219</v>
      </c>
      <c r="I7" s="3" t="n">
        <f aca="false">D7/H7</f>
        <v>14.766201804758</v>
      </c>
      <c r="J7" s="2" t="n">
        <v>292</v>
      </c>
      <c r="K7" s="3" t="n">
        <v>87600</v>
      </c>
      <c r="L7" s="5" t="n">
        <f aca="false">K7/D7</f>
        <v>4.86666666666667</v>
      </c>
    </row>
    <row r="8" customFormat="false" ht="15" hidden="false" customHeight="false" outlineLevel="0" collapsed="false">
      <c r="A8" s="2" t="s">
        <v>22</v>
      </c>
      <c r="B8" s="2" t="s">
        <v>19</v>
      </c>
      <c r="C8" s="2" t="s">
        <v>20</v>
      </c>
      <c r="D8" s="3" t="n">
        <v>18000</v>
      </c>
      <c r="E8" s="2" t="n">
        <v>630000</v>
      </c>
      <c r="F8" s="2" t="n">
        <v>12683</v>
      </c>
      <c r="G8" s="4" t="n">
        <f aca="false">F8/E8</f>
        <v>0.020131746031746</v>
      </c>
      <c r="H8" s="2" t="n">
        <v>399</v>
      </c>
      <c r="I8" s="3" t="n">
        <f aca="false">D8/H8</f>
        <v>45.1127819548872</v>
      </c>
      <c r="J8" s="2" t="n">
        <v>53</v>
      </c>
      <c r="K8" s="3" t="n">
        <v>29150</v>
      </c>
      <c r="L8" s="5" t="n">
        <f aca="false">K8/D8</f>
        <v>1.61944444444444</v>
      </c>
    </row>
    <row r="9" customFormat="false" ht="15" hidden="false" customHeight="false" outlineLevel="0" collapsed="false">
      <c r="A9" s="2" t="s">
        <v>23</v>
      </c>
      <c r="B9" s="2" t="s">
        <v>19</v>
      </c>
      <c r="C9" s="2" t="s">
        <v>17</v>
      </c>
      <c r="D9" s="3" t="n">
        <v>60000</v>
      </c>
      <c r="E9" s="2" t="n">
        <v>1440000</v>
      </c>
      <c r="F9" s="2" t="n">
        <v>25099</v>
      </c>
      <c r="G9" s="4" t="n">
        <f aca="false">F9/E9</f>
        <v>0.0174298611111111</v>
      </c>
      <c r="H9" s="2" t="n">
        <v>2510</v>
      </c>
      <c r="I9" s="3" t="n">
        <f aca="false">D9/H9</f>
        <v>23.9043824701195</v>
      </c>
      <c r="J9" s="2" t="n">
        <v>458</v>
      </c>
      <c r="K9" s="3" t="n">
        <v>137400</v>
      </c>
      <c r="L9" s="5" t="n">
        <f aca="false">K9/D9</f>
        <v>2.29</v>
      </c>
    </row>
    <row r="10" customFormat="false" ht="15" hidden="false" customHeight="false" outlineLevel="0" collapsed="false">
      <c r="A10" s="2" t="s">
        <v>23</v>
      </c>
      <c r="B10" s="2" t="s">
        <v>13</v>
      </c>
      <c r="C10" s="2" t="s">
        <v>20</v>
      </c>
      <c r="D10" s="3" t="n">
        <v>40000</v>
      </c>
      <c r="E10" s="2" t="n">
        <v>880000</v>
      </c>
      <c r="F10" s="2" t="n">
        <v>20639</v>
      </c>
      <c r="G10" s="4" t="n">
        <f aca="false">F10/E10</f>
        <v>0.0234534090909091</v>
      </c>
      <c r="H10" s="2" t="n">
        <v>2307</v>
      </c>
      <c r="I10" s="3" t="n">
        <f aca="false">D10/H10</f>
        <v>17.3385348938015</v>
      </c>
      <c r="J10" s="2" t="n">
        <v>489</v>
      </c>
      <c r="K10" s="3" t="n">
        <v>440100</v>
      </c>
      <c r="L10" s="5" t="n">
        <f aca="false">K10/D10</f>
        <v>11.0025</v>
      </c>
    </row>
    <row r="11" customFormat="false" ht="15" hidden="false" customHeight="false" outlineLevel="0" collapsed="false">
      <c r="A11" s="2" t="s">
        <v>16</v>
      </c>
      <c r="B11" s="2" t="s">
        <v>24</v>
      </c>
      <c r="C11" s="2" t="s">
        <v>14</v>
      </c>
      <c r="D11" s="3" t="n">
        <v>5000</v>
      </c>
      <c r="E11" s="2" t="n">
        <v>250000</v>
      </c>
      <c r="F11" s="2" t="n">
        <v>6584</v>
      </c>
      <c r="G11" s="4" t="n">
        <f aca="false">F11/E11</f>
        <v>0.026336</v>
      </c>
      <c r="H11" s="2" t="n">
        <v>450</v>
      </c>
      <c r="I11" s="3" t="n">
        <f aca="false">D11/H11</f>
        <v>11.1111111111111</v>
      </c>
      <c r="J11" s="2" t="n">
        <v>46</v>
      </c>
      <c r="K11" s="3" t="n">
        <v>64400</v>
      </c>
      <c r="L11" s="5" t="n">
        <f aca="false">K11/D11</f>
        <v>12.88</v>
      </c>
    </row>
    <row r="12" customFormat="false" ht="15" hidden="false" customHeight="false" outlineLevel="0" collapsed="false">
      <c r="A12" s="2" t="s">
        <v>22</v>
      </c>
      <c r="B12" s="2" t="s">
        <v>19</v>
      </c>
      <c r="C12" s="2" t="s">
        <v>25</v>
      </c>
      <c r="D12" s="3" t="n">
        <v>40000</v>
      </c>
      <c r="E12" s="2" t="n">
        <v>1160000</v>
      </c>
      <c r="F12" s="2" t="n">
        <v>8789</v>
      </c>
      <c r="G12" s="4" t="n">
        <f aca="false">F12/E12</f>
        <v>0.00757672413793104</v>
      </c>
      <c r="H12" s="2" t="n">
        <v>481</v>
      </c>
      <c r="I12" s="3" t="n">
        <f aca="false">D12/H12</f>
        <v>83.1600831600832</v>
      </c>
      <c r="J12" s="2" t="n">
        <v>99</v>
      </c>
      <c r="K12" s="3" t="n">
        <v>89100</v>
      </c>
      <c r="L12" s="5" t="n">
        <f aca="false">K12/D12</f>
        <v>2.2275</v>
      </c>
    </row>
    <row r="13" customFormat="false" ht="15" hidden="false" customHeight="false" outlineLevel="0" collapsed="false">
      <c r="A13" s="2" t="s">
        <v>15</v>
      </c>
      <c r="B13" s="2" t="s">
        <v>13</v>
      </c>
      <c r="C13" s="2" t="s">
        <v>17</v>
      </c>
      <c r="D13" s="3" t="n">
        <v>18000</v>
      </c>
      <c r="E13" s="2" t="n">
        <v>882000</v>
      </c>
      <c r="F13" s="2" t="n">
        <v>15994</v>
      </c>
      <c r="G13" s="4" t="n">
        <f aca="false">F13/E13</f>
        <v>0.0181337868480726</v>
      </c>
      <c r="H13" s="2" t="n">
        <v>1099</v>
      </c>
      <c r="I13" s="3" t="n">
        <f aca="false">D13/H13</f>
        <v>16.3785259326661</v>
      </c>
      <c r="J13" s="2" t="n">
        <v>262</v>
      </c>
      <c r="K13" s="3" t="n">
        <v>78600</v>
      </c>
      <c r="L13" s="5" t="n">
        <f aca="false">K13/D13</f>
        <v>4.36666666666667</v>
      </c>
    </row>
    <row r="14" customFormat="false" ht="15" hidden="false" customHeight="false" outlineLevel="0" collapsed="false">
      <c r="A14" s="2" t="s">
        <v>22</v>
      </c>
      <c r="B14" s="2" t="s">
        <v>13</v>
      </c>
      <c r="C14" s="2" t="s">
        <v>20</v>
      </c>
      <c r="D14" s="3" t="n">
        <v>25000</v>
      </c>
      <c r="E14" s="2" t="n">
        <v>1200000</v>
      </c>
      <c r="F14" s="2" t="n">
        <v>32777</v>
      </c>
      <c r="G14" s="4" t="n">
        <f aca="false">F14/E14</f>
        <v>0.0273141666666667</v>
      </c>
      <c r="H14" s="2" t="n">
        <v>2204</v>
      </c>
      <c r="I14" s="3" t="n">
        <f aca="false">D14/H14</f>
        <v>11.3430127041742</v>
      </c>
      <c r="J14" s="2" t="n">
        <v>541</v>
      </c>
      <c r="K14" s="3" t="n">
        <v>757400</v>
      </c>
      <c r="L14" s="5" t="n">
        <f aca="false">K14/D14</f>
        <v>30.296</v>
      </c>
    </row>
    <row r="15" customFormat="false" ht="15" hidden="false" customHeight="false" outlineLevel="0" collapsed="false">
      <c r="A15" s="2" t="s">
        <v>16</v>
      </c>
      <c r="B15" s="2" t="s">
        <v>24</v>
      </c>
      <c r="C15" s="2" t="s">
        <v>20</v>
      </c>
      <c r="D15" s="3" t="n">
        <v>18000</v>
      </c>
      <c r="E15" s="2" t="n">
        <v>846000</v>
      </c>
      <c r="F15" s="2" t="n">
        <v>11421</v>
      </c>
      <c r="G15" s="4" t="n">
        <f aca="false">F15/E15</f>
        <v>0.0135</v>
      </c>
      <c r="H15" s="2" t="n">
        <v>605</v>
      </c>
      <c r="I15" s="3" t="n">
        <f aca="false">D15/H15</f>
        <v>29.7520661157025</v>
      </c>
      <c r="J15" s="2" t="n">
        <v>164</v>
      </c>
      <c r="K15" s="3" t="n">
        <v>229600</v>
      </c>
      <c r="L15" s="5" t="n">
        <f aca="false">K15/D15</f>
        <v>12.7555555555556</v>
      </c>
    </row>
    <row r="16" customFormat="false" ht="15" hidden="false" customHeight="false" outlineLevel="0" collapsed="false">
      <c r="A16" s="2" t="s">
        <v>26</v>
      </c>
      <c r="B16" s="2" t="s">
        <v>19</v>
      </c>
      <c r="C16" s="2" t="s">
        <v>25</v>
      </c>
      <c r="D16" s="3" t="n">
        <v>5000</v>
      </c>
      <c r="E16" s="2" t="n">
        <v>235000</v>
      </c>
      <c r="F16" s="2" t="n">
        <v>1955</v>
      </c>
      <c r="G16" s="4" t="n">
        <f aca="false">F16/E16</f>
        <v>0.00831914893617021</v>
      </c>
      <c r="H16" s="2" t="n">
        <v>189</v>
      </c>
      <c r="I16" s="3" t="n">
        <f aca="false">D16/H16</f>
        <v>26.4550264550265</v>
      </c>
      <c r="J16" s="2" t="n">
        <v>46</v>
      </c>
      <c r="K16" s="3" t="n">
        <v>13800</v>
      </c>
      <c r="L16" s="5" t="n">
        <f aca="false">K16/D16</f>
        <v>2.76</v>
      </c>
    </row>
    <row r="17" customFormat="false" ht="15" hidden="false" customHeight="false" outlineLevel="0" collapsed="false">
      <c r="A17" s="2" t="s">
        <v>12</v>
      </c>
      <c r="B17" s="2" t="s">
        <v>27</v>
      </c>
      <c r="C17" s="2" t="s">
        <v>25</v>
      </c>
      <c r="D17" s="3" t="n">
        <v>18000</v>
      </c>
      <c r="E17" s="2" t="n">
        <v>486000</v>
      </c>
      <c r="F17" s="2" t="n">
        <v>7708</v>
      </c>
      <c r="G17" s="4" t="n">
        <f aca="false">F17/E17</f>
        <v>0.0158600823045268</v>
      </c>
      <c r="H17" s="2" t="n">
        <v>837</v>
      </c>
      <c r="I17" s="3" t="n">
        <f aca="false">D17/H17</f>
        <v>21.505376344086</v>
      </c>
      <c r="J17" s="2" t="n">
        <v>225</v>
      </c>
      <c r="K17" s="3" t="n">
        <v>315000</v>
      </c>
      <c r="L17" s="5" t="n">
        <f aca="false">K17/D17</f>
        <v>17.5</v>
      </c>
    </row>
    <row r="18" customFormat="false" ht="15" hidden="false" customHeight="false" outlineLevel="0" collapsed="false">
      <c r="A18" s="2" t="s">
        <v>28</v>
      </c>
      <c r="B18" s="2" t="s">
        <v>24</v>
      </c>
      <c r="C18" s="2" t="s">
        <v>14</v>
      </c>
      <c r="D18" s="3" t="n">
        <v>18000</v>
      </c>
      <c r="E18" s="2" t="n">
        <v>756000</v>
      </c>
      <c r="F18" s="2" t="n">
        <v>6416</v>
      </c>
      <c r="G18" s="4" t="n">
        <f aca="false">F18/E18</f>
        <v>0.00848677248677249</v>
      </c>
      <c r="H18" s="2" t="n">
        <v>485</v>
      </c>
      <c r="I18" s="3" t="n">
        <f aca="false">D18/H18</f>
        <v>37.1134020618557</v>
      </c>
      <c r="J18" s="2" t="n">
        <v>54</v>
      </c>
      <c r="K18" s="3" t="n">
        <v>75600</v>
      </c>
      <c r="L18" s="5" t="n">
        <f aca="false">K18/D18</f>
        <v>4.2</v>
      </c>
    </row>
    <row r="19" customFormat="false" ht="15" hidden="false" customHeight="false" outlineLevel="0" collapsed="false">
      <c r="A19" s="2" t="s">
        <v>15</v>
      </c>
      <c r="B19" s="2" t="s">
        <v>19</v>
      </c>
      <c r="C19" s="2" t="s">
        <v>25</v>
      </c>
      <c r="D19" s="3" t="n">
        <v>40000</v>
      </c>
      <c r="E19" s="2" t="n">
        <v>1720000</v>
      </c>
      <c r="F19" s="2" t="n">
        <v>15062</v>
      </c>
      <c r="G19" s="4" t="n">
        <f aca="false">F19/E19</f>
        <v>0.00875697674418605</v>
      </c>
      <c r="H19" s="2" t="n">
        <v>829</v>
      </c>
      <c r="I19" s="3" t="n">
        <f aca="false">D19/H19</f>
        <v>48.2509047044632</v>
      </c>
      <c r="J19" s="2" t="n">
        <v>104</v>
      </c>
      <c r="K19" s="3" t="n">
        <v>145600</v>
      </c>
      <c r="L19" s="5" t="n">
        <f aca="false">K19/D19</f>
        <v>3.64</v>
      </c>
    </row>
    <row r="20" customFormat="false" ht="15" hidden="false" customHeight="false" outlineLevel="0" collapsed="false">
      <c r="A20" s="2" t="s">
        <v>12</v>
      </c>
      <c r="B20" s="2" t="s">
        <v>21</v>
      </c>
      <c r="C20" s="2" t="s">
        <v>14</v>
      </c>
      <c r="D20" s="3" t="n">
        <v>60000</v>
      </c>
      <c r="E20" s="2" t="n">
        <v>3300000</v>
      </c>
      <c r="F20" s="2" t="n">
        <v>21879</v>
      </c>
      <c r="G20" s="4" t="n">
        <f aca="false">F20/E20</f>
        <v>0.00663</v>
      </c>
      <c r="H20" s="2" t="n">
        <v>2486</v>
      </c>
      <c r="I20" s="3" t="n">
        <f aca="false">D20/H20</f>
        <v>24.1351568785197</v>
      </c>
      <c r="J20" s="2" t="n">
        <v>611</v>
      </c>
      <c r="K20" s="3" t="n">
        <v>549900</v>
      </c>
      <c r="L20" s="5" t="n">
        <f aca="false">K20/D20</f>
        <v>9.165</v>
      </c>
    </row>
    <row r="21" customFormat="false" ht="15" hidden="false" customHeight="false" outlineLevel="0" collapsed="false">
      <c r="A21" s="2" t="s">
        <v>26</v>
      </c>
      <c r="B21" s="2" t="s">
        <v>13</v>
      </c>
      <c r="C21" s="2" t="s">
        <v>29</v>
      </c>
      <c r="D21" s="3" t="n">
        <v>60000</v>
      </c>
      <c r="E21" s="2" t="n">
        <v>2340000</v>
      </c>
      <c r="F21" s="2" t="n">
        <v>65794</v>
      </c>
      <c r="G21" s="4" t="n">
        <f aca="false">F21/E21</f>
        <v>0.028117094017094</v>
      </c>
      <c r="H21" s="2" t="n">
        <v>4052</v>
      </c>
      <c r="I21" s="3" t="n">
        <f aca="false">D21/H21</f>
        <v>14.8075024679171</v>
      </c>
      <c r="J21" s="2" t="n">
        <v>471</v>
      </c>
      <c r="K21" s="3" t="n">
        <v>259050</v>
      </c>
      <c r="L21" s="5" t="n">
        <f aca="false">K21/D21</f>
        <v>4.3175</v>
      </c>
    </row>
    <row r="22" customFormat="false" ht="15" hidden="false" customHeight="false" outlineLevel="0" collapsed="false">
      <c r="A22" s="2" t="s">
        <v>22</v>
      </c>
      <c r="B22" s="2" t="s">
        <v>30</v>
      </c>
      <c r="C22" s="2" t="s">
        <v>29</v>
      </c>
      <c r="D22" s="3" t="n">
        <v>5000</v>
      </c>
      <c r="E22" s="2" t="n">
        <v>145000</v>
      </c>
      <c r="F22" s="2" t="n">
        <v>3449</v>
      </c>
      <c r="G22" s="4" t="n">
        <f aca="false">F22/E22</f>
        <v>0.0237862068965517</v>
      </c>
      <c r="H22" s="2" t="n">
        <v>405</v>
      </c>
      <c r="I22" s="3" t="n">
        <f aca="false">D22/H22</f>
        <v>12.3456790123457</v>
      </c>
      <c r="J22" s="2" t="n">
        <v>40</v>
      </c>
      <c r="K22" s="3" t="n">
        <v>22000</v>
      </c>
      <c r="L22" s="5" t="n">
        <f aca="false">K22/D22</f>
        <v>4.4</v>
      </c>
    </row>
    <row r="23" customFormat="false" ht="15" hidden="false" customHeight="false" outlineLevel="0" collapsed="false">
      <c r="A23" s="2" t="s">
        <v>12</v>
      </c>
      <c r="B23" s="2" t="s">
        <v>21</v>
      </c>
      <c r="C23" s="2" t="s">
        <v>17</v>
      </c>
      <c r="D23" s="3" t="n">
        <v>18000</v>
      </c>
      <c r="E23" s="2" t="n">
        <v>540000</v>
      </c>
      <c r="F23" s="2" t="n">
        <v>8036</v>
      </c>
      <c r="G23" s="4" t="n">
        <f aca="false">F23/E23</f>
        <v>0.0148814814814815</v>
      </c>
      <c r="H23" s="2" t="n">
        <v>763</v>
      </c>
      <c r="I23" s="3" t="n">
        <f aca="false">D23/H23</f>
        <v>23.5910878112713</v>
      </c>
      <c r="J23" s="2" t="n">
        <v>180</v>
      </c>
      <c r="K23" s="3" t="n">
        <v>54000</v>
      </c>
      <c r="L23" s="5" t="n">
        <f aca="false">K23/D23</f>
        <v>3</v>
      </c>
    </row>
    <row r="24" customFormat="false" ht="15" hidden="false" customHeight="false" outlineLevel="0" collapsed="false">
      <c r="A24" s="2" t="s">
        <v>26</v>
      </c>
      <c r="B24" s="2" t="s">
        <v>30</v>
      </c>
      <c r="C24" s="2" t="s">
        <v>29</v>
      </c>
      <c r="D24" s="3" t="n">
        <v>40000</v>
      </c>
      <c r="E24" s="2" t="n">
        <v>920000</v>
      </c>
      <c r="F24" s="2" t="n">
        <v>20401</v>
      </c>
      <c r="G24" s="4" t="n">
        <f aca="false">F24/E24</f>
        <v>0.022175</v>
      </c>
      <c r="H24" s="2" t="n">
        <v>1112</v>
      </c>
      <c r="I24" s="3" t="n">
        <f aca="false">D24/H24</f>
        <v>35.9712230215827</v>
      </c>
      <c r="J24" s="2" t="n">
        <v>236</v>
      </c>
      <c r="K24" s="3" t="n">
        <v>330400</v>
      </c>
      <c r="L24" s="5" t="n">
        <f aca="false">K24/D24</f>
        <v>8.26</v>
      </c>
    </row>
    <row r="25" customFormat="false" ht="15" hidden="false" customHeight="false" outlineLevel="0" collapsed="false">
      <c r="A25" s="2" t="s">
        <v>26</v>
      </c>
      <c r="B25" s="2" t="s">
        <v>30</v>
      </c>
      <c r="C25" s="2" t="s">
        <v>25</v>
      </c>
      <c r="D25" s="3" t="n">
        <v>18000</v>
      </c>
      <c r="E25" s="2" t="n">
        <v>594000</v>
      </c>
      <c r="F25" s="2" t="n">
        <v>14326</v>
      </c>
      <c r="G25" s="4" t="n">
        <f aca="false">F25/E25</f>
        <v>0.0241178451178451</v>
      </c>
      <c r="H25" s="2" t="n">
        <v>577</v>
      </c>
      <c r="I25" s="3" t="n">
        <f aca="false">D25/H25</f>
        <v>31.1958405545927</v>
      </c>
      <c r="J25" s="2" t="n">
        <v>96</v>
      </c>
      <c r="K25" s="3" t="n">
        <v>86400</v>
      </c>
      <c r="L25" s="5" t="n">
        <f aca="false">K25/D25</f>
        <v>4.8</v>
      </c>
    </row>
    <row r="26" customFormat="false" ht="15" hidden="false" customHeight="false" outlineLevel="0" collapsed="false">
      <c r="A26" s="2" t="s">
        <v>28</v>
      </c>
      <c r="B26" s="2" t="s">
        <v>27</v>
      </c>
      <c r="C26" s="2" t="s">
        <v>17</v>
      </c>
      <c r="D26" s="3" t="n">
        <v>60000</v>
      </c>
      <c r="E26" s="2" t="n">
        <v>2340000</v>
      </c>
      <c r="F26" s="2" t="n">
        <v>16591</v>
      </c>
      <c r="G26" s="4" t="n">
        <f aca="false">F26/E26</f>
        <v>0.00709017094017094</v>
      </c>
      <c r="H26" s="2" t="n">
        <v>1088</v>
      </c>
      <c r="I26" s="3" t="n">
        <f aca="false">D26/H26</f>
        <v>55.1470588235294</v>
      </c>
      <c r="J26" s="2" t="n">
        <v>217</v>
      </c>
      <c r="K26" s="3" t="n">
        <v>65100</v>
      </c>
      <c r="L26" s="5" t="n">
        <f aca="false">K26/D26</f>
        <v>1.085</v>
      </c>
    </row>
    <row r="27" customFormat="false" ht="15" hidden="false" customHeight="false" outlineLevel="0" collapsed="false">
      <c r="A27" s="2" t="s">
        <v>18</v>
      </c>
      <c r="B27" s="2" t="s">
        <v>21</v>
      </c>
      <c r="C27" s="2" t="s">
        <v>29</v>
      </c>
      <c r="D27" s="3" t="n">
        <v>12000</v>
      </c>
      <c r="E27" s="2" t="n">
        <v>432000</v>
      </c>
      <c r="F27" s="2" t="n">
        <v>5593</v>
      </c>
      <c r="G27" s="4" t="n">
        <f aca="false">F27/E27</f>
        <v>0.0129467592592593</v>
      </c>
      <c r="H27" s="2" t="n">
        <v>228</v>
      </c>
      <c r="I27" s="3" t="n">
        <f aca="false">D27/H27</f>
        <v>52.6315789473684</v>
      </c>
      <c r="J27" s="2" t="n">
        <v>41</v>
      </c>
      <c r="K27" s="3" t="n">
        <v>57400</v>
      </c>
      <c r="L27" s="5" t="n">
        <f aca="false">K27/D27</f>
        <v>4.78333333333333</v>
      </c>
    </row>
    <row r="28" customFormat="false" ht="15" hidden="false" customHeight="false" outlineLevel="0" collapsed="false">
      <c r="A28" s="2" t="s">
        <v>22</v>
      </c>
      <c r="B28" s="2" t="s">
        <v>13</v>
      </c>
      <c r="C28" s="2" t="s">
        <v>20</v>
      </c>
      <c r="D28" s="3" t="n">
        <v>40000</v>
      </c>
      <c r="E28" s="2" t="n">
        <v>1360000</v>
      </c>
      <c r="F28" s="2" t="n">
        <v>24489</v>
      </c>
      <c r="G28" s="4" t="n">
        <f aca="false">F28/E28</f>
        <v>0.0180066176470588</v>
      </c>
      <c r="H28" s="2" t="n">
        <v>2571</v>
      </c>
      <c r="I28" s="3" t="n">
        <f aca="false">D28/H28</f>
        <v>15.5581485803189</v>
      </c>
      <c r="J28" s="2" t="n">
        <v>620</v>
      </c>
      <c r="K28" s="3" t="n">
        <v>186000</v>
      </c>
      <c r="L28" s="5" t="n">
        <f aca="false">K28/D28</f>
        <v>4.65</v>
      </c>
    </row>
    <row r="29" customFormat="false" ht="15" hidden="false" customHeight="false" outlineLevel="0" collapsed="false">
      <c r="A29" s="2" t="s">
        <v>26</v>
      </c>
      <c r="B29" s="2" t="s">
        <v>30</v>
      </c>
      <c r="C29" s="2" t="s">
        <v>31</v>
      </c>
      <c r="D29" s="3" t="n">
        <v>25000</v>
      </c>
      <c r="E29" s="2" t="n">
        <v>525000</v>
      </c>
      <c r="F29" s="2" t="n">
        <v>8943</v>
      </c>
      <c r="G29" s="4" t="n">
        <f aca="false">F29/E29</f>
        <v>0.0170342857142857</v>
      </c>
      <c r="H29" s="2" t="n">
        <v>331</v>
      </c>
      <c r="I29" s="3" t="n">
        <f aca="false">D29/H29</f>
        <v>75.5287009063444</v>
      </c>
      <c r="J29" s="2" t="n">
        <v>47</v>
      </c>
      <c r="K29" s="3" t="n">
        <v>65800</v>
      </c>
      <c r="L29" s="5" t="n">
        <f aca="false">K29/D29</f>
        <v>2.632</v>
      </c>
    </row>
    <row r="30" customFormat="false" ht="15" hidden="false" customHeight="false" outlineLevel="0" collapsed="false">
      <c r="A30" s="2" t="s">
        <v>26</v>
      </c>
      <c r="B30" s="2" t="s">
        <v>30</v>
      </c>
      <c r="C30" s="2" t="s">
        <v>31</v>
      </c>
      <c r="D30" s="3" t="n">
        <v>60000</v>
      </c>
      <c r="E30" s="2" t="n">
        <v>2760000</v>
      </c>
      <c r="F30" s="2" t="n">
        <v>35737</v>
      </c>
      <c r="G30" s="4" t="n">
        <f aca="false">F30/E30</f>
        <v>0.0129481884057971</v>
      </c>
      <c r="H30" s="2" t="n">
        <v>2375</v>
      </c>
      <c r="I30" s="3" t="n">
        <f aca="false">D30/H30</f>
        <v>25.2631578947368</v>
      </c>
      <c r="J30" s="2" t="n">
        <v>649</v>
      </c>
      <c r="K30" s="3" t="n">
        <v>356950</v>
      </c>
      <c r="L30" s="5" t="n">
        <f aca="false">K30/D30</f>
        <v>5.94916666666667</v>
      </c>
    </row>
    <row r="31" customFormat="false" ht="15" hidden="false" customHeight="false" outlineLevel="0" collapsed="false">
      <c r="A31" s="2" t="s">
        <v>15</v>
      </c>
      <c r="B31" s="2" t="s">
        <v>24</v>
      </c>
      <c r="C31" s="2" t="s">
        <v>29</v>
      </c>
      <c r="D31" s="3" t="n">
        <v>18000</v>
      </c>
      <c r="E31" s="2" t="n">
        <v>450000</v>
      </c>
      <c r="F31" s="2" t="n">
        <v>7416</v>
      </c>
      <c r="G31" s="4" t="n">
        <f aca="false">F31/E31</f>
        <v>0.01648</v>
      </c>
      <c r="H31" s="2" t="n">
        <v>293</v>
      </c>
      <c r="I31" s="3" t="n">
        <f aca="false">D31/H31</f>
        <v>61.4334470989761</v>
      </c>
      <c r="J31" s="2" t="n">
        <v>49</v>
      </c>
      <c r="K31" s="3" t="n">
        <v>68600</v>
      </c>
      <c r="L31" s="5" t="n">
        <f aca="false">K31/D31</f>
        <v>3.81111111111111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2026-08-24T09:29:56.0783296Z</dcterms:created>
  <dc:creator>Wilson Tsui</dc:creator>
  <dc:description/>
  <dc:language>en-US</dc:language>
  <lastModifiedBy>Wilson Tsui</lastModifiedBy>
  <dcterms:modified xsi:type="dcterms:W3CDTF">2026-08-24T09:29:56.0783296Z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